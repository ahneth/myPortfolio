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ccount_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Watchlist_Fundamentals" sheetId="5" state="visible" r:id="rId5"/>
    <sheet xmlns:r="http://schemas.openxmlformats.org/officeDocument/2006/relationships" name="Historical_Price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HK$&quot;#,##0.00;&quot;(HK$&quot;#,##0.00\);\-"/>
    <numFmt numFmtId="165" formatCode="\+0.00%;\-0.00%;0.00%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F172A"/>
      <sz val="10"/>
    </font>
    <font>
      <name val="Calibri"/>
      <charset val="1"/>
      <family val="0"/>
      <i val="1"/>
      <color rgb="FF64748B"/>
      <sz val="9"/>
    </font>
    <font>
      <name val="Calibri"/>
      <charset val="1"/>
      <family val="0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065F46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ECFDF5"/>
        <b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65F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65F4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4" fontId="7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3" fontId="7" fillId="3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4" fontId="7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2" fontId="7" fillId="3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3" fontId="5" fillId="4" borderId="3" applyAlignment="1" pivotButton="0" quotePrefix="0" xfId="0">
      <alignment horizontal="right" vertical="center"/>
    </xf>
    <xf numFmtId="4" fontId="5" fillId="4" borderId="3" applyAlignment="1" pivotButton="0" quotePrefix="0" xfId="0">
      <alignment horizontal="right" vertical="center"/>
    </xf>
    <xf numFmtId="2" fontId="5" fillId="4" borderId="3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4" fontId="5" fillId="4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4" fontId="7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3" fontId="7" fillId="3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4" fontId="7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2" fontId="7" fillId="3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3" fontId="5" fillId="4" borderId="3" applyAlignment="1" pivotButton="0" quotePrefix="0" xfId="0">
      <alignment horizontal="right" vertical="center"/>
    </xf>
    <xf numFmtId="4" fontId="5" fillId="4" borderId="3" applyAlignment="1" pivotButton="0" quotePrefix="0" xfId="0">
      <alignment horizontal="right" vertical="center"/>
    </xf>
    <xf numFmtId="2" fontId="5" fillId="4" borderId="3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4" fontId="5" fillId="4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8FAFC"/>
      <rgbColor rgb="FFECFD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9" min="1" max="1"/>
    <col width="17" customWidth="1" style="39" min="2" max="2"/>
    <col width="42" customWidth="1" style="39" min="3" max="3"/>
  </cols>
  <sheetData>
    <row r="1" ht="25.5" customHeight="1" s="40">
      <c r="A1" s="41" t="inlineStr">
        <is>
          <t>Metric</t>
        </is>
      </c>
      <c r="B1" s="42" t="inlineStr">
        <is>
          <t>Value</t>
        </is>
      </c>
      <c r="C1" s="41" t="inlineStr">
        <is>
          <t>Notes / Source</t>
        </is>
      </c>
    </row>
    <row r="2" ht="21" customHeight="1" s="40">
      <c r="A2" s="43" t="inlineStr">
        <is>
          <t>Total Portfolio Value</t>
        </is>
      </c>
      <c r="B2" s="44">
        <f>Holdings!I24</f>
        <v/>
      </c>
      <c r="C2" s="45" t="inlineStr">
        <is>
          <t>Sum of active holdings market value (HKD)</t>
        </is>
      </c>
    </row>
    <row r="3" ht="21" customHeight="1" s="40">
      <c r="A3" s="46" t="inlineStr">
        <is>
          <t>Available Cash Balance</t>
        </is>
      </c>
      <c r="B3" s="47">
        <f>Transactions!H2-Holdings!G24</f>
        <v/>
      </c>
      <c r="C3" s="48" t="inlineStr">
        <is>
          <t>Funded capital minus active cost basis</t>
        </is>
      </c>
    </row>
    <row r="4" ht="21" customHeight="1" s="40">
      <c r="A4" s="43" t="inlineStr">
        <is>
          <t>Total Stock Market Value</t>
        </is>
      </c>
      <c r="B4" s="49">
        <f>Holdings!I24</f>
        <v/>
      </c>
      <c r="C4" s="45" t="inlineStr">
        <is>
          <t>Market value at Yahoo Finance screenshot prices</t>
        </is>
      </c>
    </row>
    <row r="5" ht="21" customHeight="1" s="40">
      <c r="A5" s="46" t="inlineStr">
        <is>
          <t>Active Invested Cost Basis</t>
        </is>
      </c>
      <c r="B5" s="50">
        <f>Holdings!G24</f>
        <v/>
      </c>
      <c r="C5" s="48" t="inlineStr">
        <is>
          <t>Total cost basis across 78 imported share lots</t>
        </is>
      </c>
    </row>
    <row r="6" ht="21" customHeight="1" s="40">
      <c r="A6" s="43" t="inlineStr">
        <is>
          <t>Unrealized P&amp;L ($)</t>
        </is>
      </c>
      <c r="B6" s="44">
        <f>Holdings!J24</f>
        <v/>
      </c>
      <c r="C6" s="45" t="inlineStr">
        <is>
          <t>Total floating gain/loss across 22 active holdings</t>
        </is>
      </c>
    </row>
    <row r="7" ht="21" customHeight="1" s="40">
      <c r="A7" s="46" t="inlineStr">
        <is>
          <t>Unrealized P&amp;L (%)</t>
        </is>
      </c>
      <c r="B7" s="51">
        <f>IF(Holdings!G24&gt;0, Holdings!J24/Holdings!G24, 0)</f>
        <v/>
      </c>
      <c r="C7" s="48" t="inlineStr">
        <is>
          <t>Portfolio unrealized return percentage</t>
        </is>
      </c>
    </row>
    <row r="8" ht="21" customHeight="1" s="40">
      <c r="A8" s="43" t="inlineStr">
        <is>
          <t>Realized P&amp;L ($)</t>
        </is>
      </c>
      <c r="B8" s="49" t="n">
        <v>0</v>
      </c>
      <c r="C8" s="45" t="inlineStr">
        <is>
          <t>No closed sell trades in screenshots</t>
        </is>
      </c>
    </row>
    <row r="9" ht="21" customHeight="1" s="40">
      <c r="A9" s="46" t="inlineStr">
        <is>
          <t>Total Dividends Earned ($)</t>
        </is>
      </c>
      <c r="B9" s="47" t="n">
        <v>0</v>
      </c>
      <c r="C9" s="48" t="inlineStr">
        <is>
          <t>No dividend logs in Share Lots view</t>
        </is>
      </c>
    </row>
    <row r="10" ht="21" customHeight="1" s="40">
      <c r="A10" s="43" t="inlineStr">
        <is>
          <t>Active Positions Count</t>
        </is>
      </c>
      <c r="B10" s="52">
        <f>COUNTA(Holdings!A2:A23)</f>
        <v/>
      </c>
      <c r="C10" s="45" t="inlineStr">
        <is>
          <t>16 HK Equities + 6 HK ETFs extracted from 5 photos</t>
        </is>
      </c>
    </row>
    <row r="11" ht="21" customHeight="1" s="40">
      <c r="A11" s="46" t="inlineStr">
        <is>
          <t>Imported Share Lots Count</t>
        </is>
      </c>
      <c r="B11" s="53">
        <f>COUNTA(Transactions!A3:A80)</f>
        <v/>
      </c>
      <c r="C11" s="48" t="inlineStr">
        <is>
          <t>78 BUY share lots + 1 funding deposit row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M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9" min="1" max="1"/>
    <col width="42" customWidth="1" style="39" min="2" max="2"/>
    <col width="15" customWidth="1" style="39" min="3" max="3"/>
    <col width="12" customWidth="1" style="39" min="4" max="4"/>
    <col width="17" customWidth="1" style="39" min="5" max="5"/>
    <col width="22" customWidth="1" style="39" min="6" max="6"/>
    <col width="24" customWidth="1" style="39" min="7" max="7"/>
    <col width="21" customWidth="1" style="39" min="8" max="8"/>
    <col width="20" customWidth="1" style="39" min="9" max="9"/>
    <col width="22" customWidth="1" style="39" min="10" max="11"/>
    <col width="21" customWidth="1" style="39" min="12" max="12"/>
    <col width="23" customWidth="1" style="39" min="13" max="13"/>
  </cols>
  <sheetData>
    <row r="1" ht="27.75" customHeight="1" s="40">
      <c r="A1" s="54" t="inlineStr">
        <is>
          <t>Ticker</t>
        </is>
      </c>
      <c r="B1" s="54" t="inlineStr">
        <is>
          <t>Company Name</t>
        </is>
      </c>
      <c r="C1" s="54" t="inlineStr">
        <is>
          <t>Sector</t>
        </is>
      </c>
      <c r="D1" s="54" t="inlineStr">
        <is>
          <t>Currency</t>
        </is>
      </c>
      <c r="E1" s="55" t="inlineStr">
        <is>
          <t>Shares Held</t>
        </is>
      </c>
      <c r="F1" s="55" t="inlineStr">
        <is>
          <t>Avg Cost Basis ($)</t>
        </is>
      </c>
      <c r="G1" s="55" t="inlineStr">
        <is>
          <t>Total Cost Basis ($)</t>
        </is>
      </c>
      <c r="H1" s="55" t="inlineStr">
        <is>
          <t>Current Price ($)</t>
        </is>
      </c>
      <c r="I1" s="55" t="inlineStr">
        <is>
          <t>Market Value ($)</t>
        </is>
      </c>
      <c r="J1" s="55" t="inlineStr">
        <is>
          <t>Unrealized P&amp;L ($)</t>
        </is>
      </c>
      <c r="K1" s="55" t="inlineStr">
        <is>
          <t>Unrealized P&amp;L (%)</t>
        </is>
      </c>
      <c r="L1" s="55" t="inlineStr">
        <is>
          <t>Yield on Cost (%)</t>
        </is>
      </c>
      <c r="M1" s="55" t="inlineStr">
        <is>
          <t>Total Dividends ($)</t>
        </is>
      </c>
    </row>
    <row r="2" ht="21" customHeight="1" s="40">
      <c r="A2" s="43" t="inlineStr">
        <is>
          <t>2318.HK</t>
        </is>
      </c>
      <c r="B2" s="56" t="inlineStr">
        <is>
          <t>Ping An Insurance (Group) Co of China Ltd</t>
        </is>
      </c>
      <c r="C2" s="56" t="inlineStr">
        <is>
          <t>Financials</t>
        </is>
      </c>
      <c r="D2" s="56" t="inlineStr">
        <is>
          <t>HKD</t>
        </is>
      </c>
      <c r="E2" s="52">
        <f>SUMIFS(Transactions!$E$3:$E$80, Transactions!$D$3:$D$80, A2, Transactions!$C$3:$C$80, "BUY")</f>
        <v/>
      </c>
      <c r="F2" s="57">
        <f>IF(E2&gt;0, G2/E2, 0)</f>
        <v/>
      </c>
      <c r="G2" s="57">
        <f>SUMIFS(Transactions!$H$3:$H$80, Transactions!$D$3:$D$80, A2, Transactions!$C$3:$C$80, "BUY")</f>
        <v/>
      </c>
      <c r="H2" s="57" t="n">
        <v>50.05</v>
      </c>
      <c r="I2" s="58">
        <f>ROUND(E2*H2, 2)</f>
        <v/>
      </c>
      <c r="J2" s="58">
        <f>I2-G2</f>
        <v/>
      </c>
      <c r="K2" s="59">
        <f>IF(G2&gt;0, (J2/G2)*100, 0)</f>
        <v/>
      </c>
      <c r="L2" s="59">
        <f>IF(G2&gt;0, (M2/G2)*100, 0)</f>
        <v/>
      </c>
      <c r="M2" s="57" t="n">
        <v>0</v>
      </c>
    </row>
    <row r="3" ht="21" customHeight="1" s="40">
      <c r="A3" s="46" t="inlineStr">
        <is>
          <t>0857.HK</t>
        </is>
      </c>
      <c r="B3" s="60" t="inlineStr">
        <is>
          <t>PetroChina Co Ltd</t>
        </is>
      </c>
      <c r="C3" s="60" t="inlineStr">
        <is>
          <t>Energy</t>
        </is>
      </c>
      <c r="D3" s="60" t="inlineStr">
        <is>
          <t>HKD</t>
        </is>
      </c>
      <c r="E3" s="53">
        <f>SUMIFS(Transactions!$E$3:$E$80, Transactions!$D$3:$D$80, A3, Transactions!$C$3:$C$80, "BUY")</f>
        <v/>
      </c>
      <c r="F3" s="61">
        <f>IF(E3&gt;0, G3/E3, 0)</f>
        <v/>
      </c>
      <c r="G3" s="61">
        <f>SUMIFS(Transactions!$H$3:$H$80, Transactions!$D$3:$D$80, A3, Transactions!$C$3:$C$80, "BUY")</f>
        <v/>
      </c>
      <c r="H3" s="61" t="n">
        <v>9.994999999999999</v>
      </c>
      <c r="I3" s="62">
        <f>ROUND(E3*H3, 2)</f>
        <v/>
      </c>
      <c r="J3" s="62">
        <f>I3-G3</f>
        <v/>
      </c>
      <c r="K3" s="63">
        <f>IF(G3&gt;0, (J3/G3)*100, 0)</f>
        <v/>
      </c>
      <c r="L3" s="63">
        <f>IF(G3&gt;0, (M3/G3)*100, 0)</f>
        <v/>
      </c>
      <c r="M3" s="61" t="n">
        <v>0</v>
      </c>
    </row>
    <row r="4" ht="21" customHeight="1" s="40">
      <c r="A4" s="43" t="inlineStr">
        <is>
          <t>0386.HK</t>
        </is>
      </c>
      <c r="B4" s="56" t="inlineStr">
        <is>
          <t>China Petroleum &amp; Chemical Corp (Sinopec)</t>
        </is>
      </c>
      <c r="C4" s="56" t="inlineStr">
        <is>
          <t>Energy</t>
        </is>
      </c>
      <c r="D4" s="56" t="inlineStr">
        <is>
          <t>HKD</t>
        </is>
      </c>
      <c r="E4" s="52">
        <f>SUMIFS(Transactions!$E$3:$E$80, Transactions!$D$3:$D$80, A4, Transactions!$C$3:$C$80, "BUY")</f>
        <v/>
      </c>
      <c r="F4" s="57">
        <f>IF(E4&gt;0, G4/E4, 0)</f>
        <v/>
      </c>
      <c r="G4" s="57">
        <f>SUMIFS(Transactions!$H$3:$H$80, Transactions!$D$3:$D$80, A4, Transactions!$C$3:$C$80, "BUY")</f>
        <v/>
      </c>
      <c r="H4" s="57" t="n">
        <v>4.5</v>
      </c>
      <c r="I4" s="58">
        <f>ROUND(E4*H4, 2)</f>
        <v/>
      </c>
      <c r="J4" s="58">
        <f>I4-G4</f>
        <v/>
      </c>
      <c r="K4" s="59">
        <f>IF(G4&gt;0, (J4/G4)*100, 0)</f>
        <v/>
      </c>
      <c r="L4" s="59">
        <f>IF(G4&gt;0, (M4/G4)*100, 0)</f>
        <v/>
      </c>
      <c r="M4" s="57" t="n">
        <v>0</v>
      </c>
    </row>
    <row r="5" ht="21" customHeight="1" s="40">
      <c r="A5" s="46" t="inlineStr">
        <is>
          <t>0002.HK</t>
        </is>
      </c>
      <c r="B5" s="60" t="inlineStr">
        <is>
          <t>CLP Holdings Ltd</t>
        </is>
      </c>
      <c r="C5" s="60" t="inlineStr">
        <is>
          <t>Utilities</t>
        </is>
      </c>
      <c r="D5" s="60" t="inlineStr">
        <is>
          <t>HKD</t>
        </is>
      </c>
      <c r="E5" s="53">
        <f>SUMIFS(Transactions!$E$3:$E$80, Transactions!$D$3:$D$80, A5, Transactions!$C$3:$C$80, "BUY")</f>
        <v/>
      </c>
      <c r="F5" s="61">
        <f>IF(E5&gt;0, G5/E5, 0)</f>
        <v/>
      </c>
      <c r="G5" s="61">
        <f>SUMIFS(Transactions!$H$3:$H$80, Transactions!$D$3:$D$80, A5, Transactions!$C$3:$C$80, "BUY")</f>
        <v/>
      </c>
      <c r="H5" s="61" t="n">
        <v>77.15000000000001</v>
      </c>
      <c r="I5" s="62">
        <f>ROUND(E5*H5, 2)</f>
        <v/>
      </c>
      <c r="J5" s="62">
        <f>I5-G5</f>
        <v/>
      </c>
      <c r="K5" s="63">
        <f>IF(G5&gt;0, (J5/G5)*100, 0)</f>
        <v/>
      </c>
      <c r="L5" s="63">
        <f>IF(G5&gt;0, (M5/G5)*100, 0)</f>
        <v/>
      </c>
      <c r="M5" s="61" t="n">
        <v>0</v>
      </c>
    </row>
    <row r="6" ht="21" customHeight="1" s="40">
      <c r="A6" s="43" t="inlineStr">
        <is>
          <t>0003.HK</t>
        </is>
      </c>
      <c r="B6" s="56" t="inlineStr">
        <is>
          <t>Hong Kong and China Gas Co Ltd</t>
        </is>
      </c>
      <c r="C6" s="56" t="inlineStr">
        <is>
          <t>Utilities</t>
        </is>
      </c>
      <c r="D6" s="56" t="inlineStr">
        <is>
          <t>HKD</t>
        </is>
      </c>
      <c r="E6" s="52">
        <f>SUMIFS(Transactions!$E$3:$E$80, Transactions!$D$3:$D$80, A6, Transactions!$C$3:$C$80, "BUY")</f>
        <v/>
      </c>
      <c r="F6" s="57">
        <f>IF(E6&gt;0, G6/E6, 0)</f>
        <v/>
      </c>
      <c r="G6" s="57">
        <f>SUMIFS(Transactions!$H$3:$H$80, Transactions!$D$3:$D$80, A6, Transactions!$C$3:$C$80, "BUY")</f>
        <v/>
      </c>
      <c r="H6" s="57" t="n">
        <v>7.215</v>
      </c>
      <c r="I6" s="58">
        <f>ROUND(E6*H6, 2)</f>
        <v/>
      </c>
      <c r="J6" s="58">
        <f>I6-G6</f>
        <v/>
      </c>
      <c r="K6" s="59">
        <f>IF(G6&gt;0, (J6/G6)*100, 0)</f>
        <v/>
      </c>
      <c r="L6" s="59">
        <f>IF(G6&gt;0, (M6/G6)*100, 0)</f>
        <v/>
      </c>
      <c r="M6" s="57" t="n">
        <v>0</v>
      </c>
    </row>
    <row r="7" ht="21" customHeight="1" s="40">
      <c r="A7" s="46" t="inlineStr">
        <is>
          <t>1288.HK</t>
        </is>
      </c>
      <c r="B7" s="60" t="inlineStr">
        <is>
          <t>Agricultural Bank of China Ltd</t>
        </is>
      </c>
      <c r="C7" s="60" t="inlineStr">
        <is>
          <t>Financials</t>
        </is>
      </c>
      <c r="D7" s="60" t="inlineStr">
        <is>
          <t>HKD</t>
        </is>
      </c>
      <c r="E7" s="53">
        <f>SUMIFS(Transactions!$E$3:$E$80, Transactions!$D$3:$D$80, A7, Transactions!$C$3:$C$80, "BUY")</f>
        <v/>
      </c>
      <c r="F7" s="61">
        <f>IF(E7&gt;0, G7/E7, 0)</f>
        <v/>
      </c>
      <c r="G7" s="61">
        <f>SUMIFS(Transactions!$H$3:$H$80, Transactions!$D$3:$D$80, A7, Transactions!$C$3:$C$80, "BUY")</f>
        <v/>
      </c>
      <c r="H7" s="61" t="n">
        <v>6.74</v>
      </c>
      <c r="I7" s="62">
        <f>ROUND(E7*H7, 2)</f>
        <v/>
      </c>
      <c r="J7" s="62">
        <f>I7-G7</f>
        <v/>
      </c>
      <c r="K7" s="63">
        <f>IF(G7&gt;0, (J7/G7)*100, 0)</f>
        <v/>
      </c>
      <c r="L7" s="63">
        <f>IF(G7&gt;0, (M7/G7)*100, 0)</f>
        <v/>
      </c>
      <c r="M7" s="61" t="n">
        <v>0</v>
      </c>
    </row>
    <row r="8" ht="21" customHeight="1" s="40">
      <c r="A8" s="43" t="inlineStr">
        <is>
          <t>1093.HK</t>
        </is>
      </c>
      <c r="B8" s="56" t="inlineStr">
        <is>
          <t>CSPC Pharmaceutical Group Ltd</t>
        </is>
      </c>
      <c r="C8" s="56" t="inlineStr">
        <is>
          <t>Healthcare</t>
        </is>
      </c>
      <c r="D8" s="56" t="inlineStr">
        <is>
          <t>HKD</t>
        </is>
      </c>
      <c r="E8" s="52">
        <f>SUMIFS(Transactions!$E$3:$E$80, Transactions!$D$3:$D$80, A8, Transactions!$C$3:$C$80, "BUY")</f>
        <v/>
      </c>
      <c r="F8" s="57">
        <f>IF(E8&gt;0, G8/E8, 0)</f>
        <v/>
      </c>
      <c r="G8" s="57">
        <f>SUMIFS(Transactions!$H$3:$H$80, Transactions!$D$3:$D$80, A8, Transactions!$C$3:$C$80, "BUY")</f>
        <v/>
      </c>
      <c r="H8" s="57" t="n">
        <v>8.880000000000001</v>
      </c>
      <c r="I8" s="58">
        <f>ROUND(E8*H8, 2)</f>
        <v/>
      </c>
      <c r="J8" s="58">
        <f>I8-G8</f>
        <v/>
      </c>
      <c r="K8" s="59">
        <f>IF(G8&gt;0, (J8/G8)*100, 0)</f>
        <v/>
      </c>
      <c r="L8" s="59">
        <f>IF(G8&gt;0, (M8/G8)*100, 0)</f>
        <v/>
      </c>
      <c r="M8" s="57" t="n">
        <v>0</v>
      </c>
    </row>
    <row r="9" ht="21" customHeight="1" s="40">
      <c r="A9" s="46" t="inlineStr">
        <is>
          <t>0939.HK</t>
        </is>
      </c>
      <c r="B9" s="60" t="inlineStr">
        <is>
          <t>China Construction Bank Corp</t>
        </is>
      </c>
      <c r="C9" s="60" t="inlineStr">
        <is>
          <t>Financials</t>
        </is>
      </c>
      <c r="D9" s="60" t="inlineStr">
        <is>
          <t>HKD</t>
        </is>
      </c>
      <c r="E9" s="53">
        <f>SUMIFS(Transactions!$E$3:$E$80, Transactions!$D$3:$D$80, A9, Transactions!$C$3:$C$80, "BUY")</f>
        <v/>
      </c>
      <c r="F9" s="61">
        <f>IF(E9&gt;0, G9/E9, 0)</f>
        <v/>
      </c>
      <c r="G9" s="61">
        <f>SUMIFS(Transactions!$H$3:$H$80, Transactions!$D$3:$D$80, A9, Transactions!$C$3:$C$80, "BUY")</f>
        <v/>
      </c>
      <c r="H9" s="61" t="n">
        <v>9.865</v>
      </c>
      <c r="I9" s="62">
        <f>ROUND(E9*H9, 2)</f>
        <v/>
      </c>
      <c r="J9" s="62">
        <f>I9-G9</f>
        <v/>
      </c>
      <c r="K9" s="63">
        <f>IF(G9&gt;0, (J9/G9)*100, 0)</f>
        <v/>
      </c>
      <c r="L9" s="63">
        <f>IF(G9&gt;0, (M9/G9)*100, 0)</f>
        <v/>
      </c>
      <c r="M9" s="61" t="n">
        <v>0</v>
      </c>
    </row>
    <row r="10" ht="21" customHeight="1" s="40">
      <c r="A10" s="43" t="inlineStr">
        <is>
          <t>0012.HK</t>
        </is>
      </c>
      <c r="B10" s="56" t="inlineStr">
        <is>
          <t>Henderson Land Development Co Ltd</t>
        </is>
      </c>
      <c r="C10" s="56" t="inlineStr">
        <is>
          <t>Real Estate</t>
        </is>
      </c>
      <c r="D10" s="56" t="inlineStr">
        <is>
          <t>HKD</t>
        </is>
      </c>
      <c r="E10" s="52">
        <f>SUMIFS(Transactions!$E$3:$E$80, Transactions!$D$3:$D$80, A10, Transactions!$C$3:$C$80, "BUY")</f>
        <v/>
      </c>
      <c r="F10" s="57">
        <f>IF(E10&gt;0, G10/E10, 0)</f>
        <v/>
      </c>
      <c r="G10" s="57">
        <f>SUMIFS(Transactions!$H$3:$H$80, Transactions!$D$3:$D$80, A10, Transactions!$C$3:$C$80, "BUY")</f>
        <v/>
      </c>
      <c r="H10" s="57" t="n">
        <v>27.2</v>
      </c>
      <c r="I10" s="58">
        <f>ROUND(E10*H10, 2)</f>
        <v/>
      </c>
      <c r="J10" s="58">
        <f>I10-G10</f>
        <v/>
      </c>
      <c r="K10" s="59">
        <f>IF(G10&gt;0, (J10/G10)*100, 0)</f>
        <v/>
      </c>
      <c r="L10" s="59">
        <f>IF(G10&gt;0, (M10/G10)*100, 0)</f>
        <v/>
      </c>
      <c r="M10" s="57" t="n">
        <v>0</v>
      </c>
    </row>
    <row r="11" ht="21" customHeight="1" s="40">
      <c r="A11" s="46" t="inlineStr">
        <is>
          <t>0066.HK</t>
        </is>
      </c>
      <c r="B11" s="60" t="inlineStr">
        <is>
          <t>MTR Corporation Ltd</t>
        </is>
      </c>
      <c r="C11" s="60" t="inlineStr">
        <is>
          <t>Industrials</t>
        </is>
      </c>
      <c r="D11" s="60" t="inlineStr">
        <is>
          <t>HKD</t>
        </is>
      </c>
      <c r="E11" s="53">
        <f>SUMIFS(Transactions!$E$3:$E$80, Transactions!$D$3:$D$80, A11, Transactions!$C$3:$C$80, "BUY")</f>
        <v/>
      </c>
      <c r="F11" s="61">
        <f>IF(E11&gt;0, G11/E11, 0)</f>
        <v/>
      </c>
      <c r="G11" s="61">
        <f>SUMIFS(Transactions!$H$3:$H$80, Transactions!$D$3:$D$80, A11, Transactions!$C$3:$C$80, "BUY")</f>
        <v/>
      </c>
      <c r="H11" s="61" t="n">
        <v>32.38</v>
      </c>
      <c r="I11" s="62">
        <f>ROUND(E11*H11, 2)</f>
        <v/>
      </c>
      <c r="J11" s="62">
        <f>I11-G11</f>
        <v/>
      </c>
      <c r="K11" s="63">
        <f>IF(G11&gt;0, (J11/G11)*100, 0)</f>
        <v/>
      </c>
      <c r="L11" s="63">
        <f>IF(G11&gt;0, (M11/G11)*100, 0)</f>
        <v/>
      </c>
      <c r="M11" s="61" t="n">
        <v>0</v>
      </c>
    </row>
    <row r="12" ht="21" customHeight="1" s="40">
      <c r="A12" s="43" t="inlineStr">
        <is>
          <t>0101.HK</t>
        </is>
      </c>
      <c r="B12" s="56" t="inlineStr">
        <is>
          <t>Hang Lung Properties Ltd</t>
        </is>
      </c>
      <c r="C12" s="56" t="inlineStr">
        <is>
          <t>Real Estate</t>
        </is>
      </c>
      <c r="D12" s="56" t="inlineStr">
        <is>
          <t>HKD</t>
        </is>
      </c>
      <c r="E12" s="52">
        <f>SUMIFS(Transactions!$E$3:$E$80, Transactions!$D$3:$D$80, A12, Transactions!$C$3:$C$80, "BUY")</f>
        <v/>
      </c>
      <c r="F12" s="57">
        <f>IF(E12&gt;0, G12/E12, 0)</f>
        <v/>
      </c>
      <c r="G12" s="57">
        <f>SUMIFS(Transactions!$H$3:$H$80, Transactions!$D$3:$D$80, A12, Transactions!$C$3:$C$80, "BUY")</f>
        <v/>
      </c>
      <c r="H12" s="57" t="n">
        <v>6.4</v>
      </c>
      <c r="I12" s="58">
        <f>ROUND(E12*H12, 2)</f>
        <v/>
      </c>
      <c r="J12" s="58">
        <f>I12-G12</f>
        <v/>
      </c>
      <c r="K12" s="59">
        <f>IF(G12&gt;0, (J12/G12)*100, 0)</f>
        <v/>
      </c>
      <c r="L12" s="59">
        <f>IF(G12&gt;0, (M12/G12)*100, 0)</f>
        <v/>
      </c>
      <c r="M12" s="57" t="n">
        <v>0</v>
      </c>
    </row>
    <row r="13" ht="21" customHeight="1" s="40">
      <c r="A13" s="46" t="inlineStr">
        <is>
          <t>1398.HK</t>
        </is>
      </c>
      <c r="B13" s="60" t="inlineStr">
        <is>
          <t>Industrial and Commercial Bank of China Ltd</t>
        </is>
      </c>
      <c r="C13" s="60" t="inlineStr">
        <is>
          <t>Financials</t>
        </is>
      </c>
      <c r="D13" s="60" t="inlineStr">
        <is>
          <t>HKD</t>
        </is>
      </c>
      <c r="E13" s="53">
        <f>SUMIFS(Transactions!$E$3:$E$80, Transactions!$D$3:$D$80, A13, Transactions!$C$3:$C$80, "BUY")</f>
        <v/>
      </c>
      <c r="F13" s="61">
        <f>IF(E13&gt;0, G13/E13, 0)</f>
        <v/>
      </c>
      <c r="G13" s="61">
        <f>SUMIFS(Transactions!$H$3:$H$80, Transactions!$D$3:$D$80, A13, Transactions!$C$3:$C$80, "BUY")</f>
        <v/>
      </c>
      <c r="H13" s="61" t="n">
        <v>7.59</v>
      </c>
      <c r="I13" s="62">
        <f>ROUND(E13*H13, 2)</f>
        <v/>
      </c>
      <c r="J13" s="62">
        <f>I13-G13</f>
        <v/>
      </c>
      <c r="K13" s="63">
        <f>IF(G13&gt;0, (J13/G13)*100, 0)</f>
        <v/>
      </c>
      <c r="L13" s="63">
        <f>IF(G13&gt;0, (M13/G13)*100, 0)</f>
        <v/>
      </c>
      <c r="M13" s="61" t="n">
        <v>0</v>
      </c>
    </row>
    <row r="14" ht="21" customHeight="1" s="40">
      <c r="A14" s="43" t="inlineStr">
        <is>
          <t>1378.HK</t>
        </is>
      </c>
      <c r="B14" s="56" t="inlineStr">
        <is>
          <t>China Hongqiao Group Ltd</t>
        </is>
      </c>
      <c r="C14" s="56" t="inlineStr">
        <is>
          <t>Industrials</t>
        </is>
      </c>
      <c r="D14" s="56" t="inlineStr">
        <is>
          <t>HKD</t>
        </is>
      </c>
      <c r="E14" s="52">
        <f>SUMIFS(Transactions!$E$3:$E$80, Transactions!$D$3:$D$80, A14, Transactions!$C$3:$C$80, "BUY")</f>
        <v/>
      </c>
      <c r="F14" s="57">
        <f>IF(E14&gt;0, G14/E14, 0)</f>
        <v/>
      </c>
      <c r="G14" s="57">
        <f>SUMIFS(Transactions!$H$3:$H$80, Transactions!$D$3:$D$80, A14, Transactions!$C$3:$C$80, "BUY")</f>
        <v/>
      </c>
      <c r="H14" s="57" t="n">
        <v>19.64</v>
      </c>
      <c r="I14" s="58">
        <f>ROUND(E14*H14, 2)</f>
        <v/>
      </c>
      <c r="J14" s="58">
        <f>I14-G14</f>
        <v/>
      </c>
      <c r="K14" s="59">
        <f>IF(G14&gt;0, (J14/G14)*100, 0)</f>
        <v/>
      </c>
      <c r="L14" s="59">
        <f>IF(G14&gt;0, (M14/G14)*100, 0)</f>
        <v/>
      </c>
      <c r="M14" s="57" t="n">
        <v>0</v>
      </c>
    </row>
    <row r="15" ht="21" customHeight="1" s="40">
      <c r="A15" s="46" t="inlineStr">
        <is>
          <t>1299.HK</t>
        </is>
      </c>
      <c r="B15" s="60" t="inlineStr">
        <is>
          <t>AIA Group Ltd</t>
        </is>
      </c>
      <c r="C15" s="60" t="inlineStr">
        <is>
          <t>Financials</t>
        </is>
      </c>
      <c r="D15" s="60" t="inlineStr">
        <is>
          <t>HKD</t>
        </is>
      </c>
      <c r="E15" s="53">
        <f>SUMIFS(Transactions!$E$3:$E$80, Transactions!$D$3:$D$80, A15, Transactions!$C$3:$C$80, "BUY")</f>
        <v/>
      </c>
      <c r="F15" s="61">
        <f>IF(E15&gt;0, G15/E15, 0)</f>
        <v/>
      </c>
      <c r="G15" s="61">
        <f>SUMIFS(Transactions!$H$3:$H$80, Transactions!$D$3:$D$80, A15, Transactions!$C$3:$C$80, "BUY")</f>
        <v/>
      </c>
      <c r="H15" s="61" t="n">
        <v>73.3</v>
      </c>
      <c r="I15" s="62">
        <f>ROUND(E15*H15, 2)</f>
        <v/>
      </c>
      <c r="J15" s="62">
        <f>I15-G15</f>
        <v/>
      </c>
      <c r="K15" s="63">
        <f>IF(G15&gt;0, (J15/G15)*100, 0)</f>
        <v/>
      </c>
      <c r="L15" s="63">
        <f>IF(G15&gt;0, (M15/G15)*100, 0)</f>
        <v/>
      </c>
      <c r="M15" s="61" t="n">
        <v>0</v>
      </c>
    </row>
    <row r="16" ht="21" customHeight="1" s="40">
      <c r="A16" s="43" t="inlineStr">
        <is>
          <t>1088.HK</t>
        </is>
      </c>
      <c r="B16" s="56" t="inlineStr">
        <is>
          <t>China Shenhua Energy Co Ltd</t>
        </is>
      </c>
      <c r="C16" s="56" t="inlineStr">
        <is>
          <t>Energy</t>
        </is>
      </c>
      <c r="D16" s="56" t="inlineStr">
        <is>
          <t>HKD</t>
        </is>
      </c>
      <c r="E16" s="52">
        <f>SUMIFS(Transactions!$E$3:$E$80, Transactions!$D$3:$D$80, A16, Transactions!$C$3:$C$80, "BUY")</f>
        <v/>
      </c>
      <c r="F16" s="57">
        <f>IF(E16&gt;0, G16/E16, 0)</f>
        <v/>
      </c>
      <c r="G16" s="57">
        <f>SUMIFS(Transactions!$H$3:$H$80, Transactions!$D$3:$D$80, A16, Transactions!$C$3:$C$80, "BUY")</f>
        <v/>
      </c>
      <c r="H16" s="57" t="n">
        <v>42.54</v>
      </c>
      <c r="I16" s="58">
        <f>ROUND(E16*H16, 2)</f>
        <v/>
      </c>
      <c r="J16" s="58">
        <f>I16-G16</f>
        <v/>
      </c>
      <c r="K16" s="59">
        <f>IF(G16&gt;0, (J16/G16)*100, 0)</f>
        <v/>
      </c>
      <c r="L16" s="59">
        <f>IF(G16&gt;0, (M16/G16)*100, 0)</f>
        <v/>
      </c>
      <c r="M16" s="57" t="n">
        <v>0</v>
      </c>
    </row>
    <row r="17" ht="21" customHeight="1" s="40">
      <c r="A17" s="46" t="inlineStr">
        <is>
          <t>0006.HK</t>
        </is>
      </c>
      <c r="B17" s="60" t="inlineStr">
        <is>
          <t>Power Assets Holdings Ltd</t>
        </is>
      </c>
      <c r="C17" s="60" t="inlineStr">
        <is>
          <t>Utilities</t>
        </is>
      </c>
      <c r="D17" s="60" t="inlineStr">
        <is>
          <t>HKD</t>
        </is>
      </c>
      <c r="E17" s="53">
        <f>SUMIFS(Transactions!$E$3:$E$80, Transactions!$D$3:$D$80, A17, Transactions!$C$3:$C$80, "BUY")</f>
        <v/>
      </c>
      <c r="F17" s="61">
        <f>IF(E17&gt;0, G17/E17, 0)</f>
        <v/>
      </c>
      <c r="G17" s="61">
        <f>SUMIFS(Transactions!$H$3:$H$80, Transactions!$D$3:$D$80, A17, Transactions!$C$3:$C$80, "BUY")</f>
        <v/>
      </c>
      <c r="H17" s="61" t="n">
        <v>60.55</v>
      </c>
      <c r="I17" s="62">
        <f>ROUND(E17*H17, 2)</f>
        <v/>
      </c>
      <c r="J17" s="62">
        <f>I17-G17</f>
        <v/>
      </c>
      <c r="K17" s="63">
        <f>IF(G17&gt;0, (J17/G17)*100, 0)</f>
        <v/>
      </c>
      <c r="L17" s="63">
        <f>IF(G17&gt;0, (M17/G17)*100, 0)</f>
        <v/>
      </c>
      <c r="M17" s="61" t="n">
        <v>0</v>
      </c>
    </row>
    <row r="18" ht="21" customHeight="1" s="40">
      <c r="A18" s="43" t="inlineStr">
        <is>
          <t>2800.HK</t>
        </is>
      </c>
      <c r="B18" s="56" t="inlineStr">
        <is>
          <t>Tracker Fund of Hong Kong</t>
        </is>
      </c>
      <c r="C18" s="56" t="inlineStr">
        <is>
          <t>Index ETF</t>
        </is>
      </c>
      <c r="D18" s="56" t="inlineStr">
        <is>
          <t>HKD</t>
        </is>
      </c>
      <c r="E18" s="52">
        <f>SUMIFS(Transactions!$E$3:$E$80, Transactions!$D$3:$D$80, A18, Transactions!$C$3:$C$80, "BUY")</f>
        <v/>
      </c>
      <c r="F18" s="57">
        <f>IF(E18&gt;0, G18/E18, 0)</f>
        <v/>
      </c>
      <c r="G18" s="57">
        <f>SUMIFS(Transactions!$H$3:$H$80, Transactions!$D$3:$D$80, A18, Transactions!$C$3:$C$80, "BUY")</f>
        <v/>
      </c>
      <c r="H18" s="57" t="n">
        <v>24.82</v>
      </c>
      <c r="I18" s="58">
        <f>ROUND(E18*H18, 2)</f>
        <v/>
      </c>
      <c r="J18" s="58">
        <f>I18-G18</f>
        <v/>
      </c>
      <c r="K18" s="59">
        <f>IF(G18&gt;0, (J18/G18)*100, 0)</f>
        <v/>
      </c>
      <c r="L18" s="59">
        <f>IF(G18&gt;0, (M18/G18)*100, 0)</f>
        <v/>
      </c>
      <c r="M18" s="57" t="n">
        <v>0</v>
      </c>
    </row>
    <row r="19" ht="21" customHeight="1" s="40">
      <c r="A19" s="46" t="inlineStr">
        <is>
          <t>3476.HK</t>
        </is>
      </c>
      <c r="B19" s="60" t="inlineStr">
        <is>
          <t>CSOP Hang Seng TECH Index Daily (-2x) Inverse Product</t>
        </is>
      </c>
      <c r="C19" s="60" t="inlineStr">
        <is>
          <t>Index ETF</t>
        </is>
      </c>
      <c r="D19" s="60" t="inlineStr">
        <is>
          <t>HKD</t>
        </is>
      </c>
      <c r="E19" s="53">
        <f>SUMIFS(Transactions!$E$3:$E$80, Transactions!$D$3:$D$80, A19, Transactions!$C$3:$C$80, "BUY")</f>
        <v/>
      </c>
      <c r="F19" s="61">
        <f>IF(E19&gt;0, G19/E19, 0)</f>
        <v/>
      </c>
      <c r="G19" s="61">
        <f>SUMIFS(Transactions!$H$3:$H$80, Transactions!$D$3:$D$80, A19, Transactions!$C$3:$C$80, "BUY")</f>
        <v/>
      </c>
      <c r="H19" s="61" t="n">
        <v>14.95</v>
      </c>
      <c r="I19" s="62">
        <f>ROUND(E19*H19, 2)</f>
        <v/>
      </c>
      <c r="J19" s="62">
        <f>I19-G19</f>
        <v/>
      </c>
      <c r="K19" s="63">
        <f>IF(G19&gt;0, (J19/G19)*100, 0)</f>
        <v/>
      </c>
      <c r="L19" s="63">
        <f>IF(G19&gt;0, (M19/G19)*100, 0)</f>
        <v/>
      </c>
      <c r="M19" s="61" t="n">
        <v>0</v>
      </c>
    </row>
    <row r="20" ht="21" customHeight="1" s="40">
      <c r="A20" s="43" t="inlineStr">
        <is>
          <t>3433.HK</t>
        </is>
      </c>
      <c r="B20" s="56" t="inlineStr">
        <is>
          <t>CSOP FTSE China A50 Index ETF</t>
        </is>
      </c>
      <c r="C20" s="56" t="inlineStr">
        <is>
          <t>Index ETF</t>
        </is>
      </c>
      <c r="D20" s="56" t="inlineStr">
        <is>
          <t>HKD</t>
        </is>
      </c>
      <c r="E20" s="52">
        <f>SUMIFS(Transactions!$E$3:$E$80, Transactions!$D$3:$D$80, A20, Transactions!$C$3:$C$80, "BUY")</f>
        <v/>
      </c>
      <c r="F20" s="57">
        <f>IF(E20&gt;0, G20/E20, 0)</f>
        <v/>
      </c>
      <c r="G20" s="57">
        <f>SUMIFS(Transactions!$H$3:$H$80, Transactions!$D$3:$D$80, A20, Transactions!$C$3:$C$80, "BUY")</f>
        <v/>
      </c>
      <c r="H20" s="57" t="n">
        <v>63.04</v>
      </c>
      <c r="I20" s="58">
        <f>ROUND(E20*H20, 2)</f>
        <v/>
      </c>
      <c r="J20" s="58">
        <f>I20-G20</f>
        <v/>
      </c>
      <c r="K20" s="59">
        <f>IF(G20&gt;0, (J20/G20)*100, 0)</f>
        <v/>
      </c>
      <c r="L20" s="59">
        <f>IF(G20&gt;0, (M20/G20)*100, 0)</f>
        <v/>
      </c>
      <c r="M20" s="57" t="n">
        <v>0</v>
      </c>
    </row>
    <row r="21" ht="21" customHeight="1" s="40">
      <c r="A21" s="46" t="inlineStr">
        <is>
          <t>3077.HK</t>
        </is>
      </c>
      <c r="B21" s="60" t="inlineStr">
        <is>
          <t>Premia US Treasury Floating Rate ETF</t>
        </is>
      </c>
      <c r="C21" s="60" t="inlineStr">
        <is>
          <t>Index ETF</t>
        </is>
      </c>
      <c r="D21" s="60" t="inlineStr">
        <is>
          <t>HKD</t>
        </is>
      </c>
      <c r="E21" s="53">
        <f>SUMIFS(Transactions!$E$3:$E$80, Transactions!$D$3:$D$80, A21, Transactions!$C$3:$C$80, "BUY")</f>
        <v/>
      </c>
      <c r="F21" s="61">
        <f>IF(E21&gt;0, G21/E21, 0)</f>
        <v/>
      </c>
      <c r="G21" s="61">
        <f>SUMIFS(Transactions!$H$3:$H$80, Transactions!$D$3:$D$80, A21, Transactions!$C$3:$C$80, "BUY")</f>
        <v/>
      </c>
      <c r="H21" s="61" t="n">
        <v>3976.25</v>
      </c>
      <c r="I21" s="62">
        <f>ROUND(E21*H21, 2)</f>
        <v/>
      </c>
      <c r="J21" s="62">
        <f>I21-G21</f>
        <v/>
      </c>
      <c r="K21" s="63">
        <f>IF(G21&gt;0, (J21/G21)*100, 0)</f>
        <v/>
      </c>
      <c r="L21" s="63">
        <f>IF(G21&gt;0, (M21/G21)*100, 0)</f>
        <v/>
      </c>
      <c r="M21" s="61" t="n">
        <v>0</v>
      </c>
    </row>
    <row r="22" ht="21" customHeight="1" s="40">
      <c r="A22" s="43" t="inlineStr">
        <is>
          <t>3195.HK</t>
        </is>
      </c>
      <c r="B22" s="56" t="inlineStr">
        <is>
          <t>CSOP Hang Seng Index Daily (-1x) Inverse Product</t>
        </is>
      </c>
      <c r="C22" s="56" t="inlineStr">
        <is>
          <t>Index ETF</t>
        </is>
      </c>
      <c r="D22" s="56" t="inlineStr">
        <is>
          <t>HKD</t>
        </is>
      </c>
      <c r="E22" s="52">
        <f>SUMIFS(Transactions!$E$3:$E$80, Transactions!$D$3:$D$80, A22, Transactions!$C$3:$C$80, "BUY")</f>
        <v/>
      </c>
      <c r="F22" s="57">
        <f>IF(E22&gt;0, G22/E22, 0)</f>
        <v/>
      </c>
      <c r="G22" s="57">
        <f>SUMIFS(Transactions!$H$3:$H$80, Transactions!$D$3:$D$80, A22, Transactions!$C$3:$C$80, "BUY")</f>
        <v/>
      </c>
      <c r="H22" s="57" t="n">
        <v>12.3</v>
      </c>
      <c r="I22" s="58">
        <f>ROUND(E22*H22, 2)</f>
        <v/>
      </c>
      <c r="J22" s="58">
        <f>I22-G22</f>
        <v/>
      </c>
      <c r="K22" s="59">
        <f>IF(G22&gt;0, (J22/G22)*100, 0)</f>
        <v/>
      </c>
      <c r="L22" s="59">
        <f>IF(G22&gt;0, (M22/G22)*100, 0)</f>
        <v/>
      </c>
      <c r="M22" s="57" t="n">
        <v>0</v>
      </c>
    </row>
    <row r="23" ht="21" customHeight="1" s="40">
      <c r="A23" s="46" t="inlineStr">
        <is>
          <t>2840.HK</t>
        </is>
      </c>
      <c r="B23" s="60" t="inlineStr">
        <is>
          <t>SPDR Gold Trust</t>
        </is>
      </c>
      <c r="C23" s="60" t="inlineStr">
        <is>
          <t>Index ETF</t>
        </is>
      </c>
      <c r="D23" s="60" t="inlineStr">
        <is>
          <t>HKD</t>
        </is>
      </c>
      <c r="E23" s="53">
        <f>SUMIFS(Transactions!$E$3:$E$80, Transactions!$D$3:$D$80, A23, Transactions!$C$3:$C$80, "BUY")</f>
        <v/>
      </c>
      <c r="F23" s="61">
        <f>IF(E23&gt;0, G23/E23, 0)</f>
        <v/>
      </c>
      <c r="G23" s="61">
        <f>SUMIFS(Transactions!$H$3:$H$80, Transactions!$D$3:$D$80, A23, Transactions!$C$3:$C$80, "BUY")</f>
        <v/>
      </c>
      <c r="H23" s="61" t="n">
        <v>3011</v>
      </c>
      <c r="I23" s="62">
        <f>ROUND(E23*H23, 2)</f>
        <v/>
      </c>
      <c r="J23" s="62">
        <f>I23-G23</f>
        <v/>
      </c>
      <c r="K23" s="63">
        <f>IF(G23&gt;0, (J23/G23)*100, 0)</f>
        <v/>
      </c>
      <c r="L23" s="63">
        <f>IF(G23&gt;0, (M23/G23)*100, 0)</f>
        <v/>
      </c>
      <c r="M23" s="61" t="n">
        <v>0</v>
      </c>
    </row>
    <row r="24" ht="22.5" customHeight="1" s="40">
      <c r="A24" s="64" t="n"/>
      <c r="B24" s="64" t="inlineStr">
        <is>
          <t>TOTAL ACTIVE HOLDINGS (22 POSITIONS)</t>
        </is>
      </c>
      <c r="C24" s="64" t="n"/>
      <c r="D24" s="64" t="inlineStr">
        <is>
          <t>HKD</t>
        </is>
      </c>
      <c r="E24" s="65">
        <f>SUM(E2:E23)</f>
        <v/>
      </c>
      <c r="F24" s="66">
        <f>IF(E24&gt;0, G24/E24, 0)</f>
        <v/>
      </c>
      <c r="G24" s="66">
        <f>SUM(G2:G23)</f>
        <v/>
      </c>
      <c r="H24" s="66" t="n">
        <v>0</v>
      </c>
      <c r="I24" s="66">
        <f>SUM(I2:I23)</f>
        <v/>
      </c>
      <c r="J24" s="66">
        <f>SUM(J2:J23)</f>
        <v/>
      </c>
      <c r="K24" s="67">
        <f>IF(G24&gt;0, (J24/G24)*100, 0)</f>
        <v/>
      </c>
      <c r="L24" s="67">
        <f>IF(G24&gt;0, (M24/G24)*100, 0)</f>
        <v/>
      </c>
      <c r="M24" s="66">
        <f>SUM(M2:M23)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J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9" min="1" max="1"/>
    <col width="14" customWidth="1" style="39" min="2" max="2"/>
    <col width="12" customWidth="1" style="39" min="3" max="5"/>
    <col width="23" customWidth="1" style="39" min="6" max="6"/>
    <col width="12" customWidth="1" style="39" min="7" max="7"/>
    <col width="17" customWidth="1" style="39" min="8" max="8"/>
    <col width="26" customWidth="1" style="39" min="9" max="9"/>
    <col width="42" customWidth="1" style="39" min="10" max="10"/>
  </cols>
  <sheetData>
    <row r="1" ht="27.75" customHeight="1" s="40">
      <c r="A1" s="54" t="inlineStr">
        <is>
          <t>Transaction ID</t>
        </is>
      </c>
      <c r="B1" s="54" t="inlineStr">
        <is>
          <t>Date</t>
        </is>
      </c>
      <c r="C1" s="54" t="inlineStr">
        <is>
          <t>Type</t>
        </is>
      </c>
      <c r="D1" s="54" t="inlineStr">
        <is>
          <t>Ticker</t>
        </is>
      </c>
      <c r="E1" s="55" t="inlineStr">
        <is>
          <t>Shares</t>
        </is>
      </c>
      <c r="F1" s="55" t="inlineStr">
        <is>
          <t>Price per Share ($)</t>
        </is>
      </c>
      <c r="G1" s="55" t="inlineStr">
        <is>
          <t>Fees ($)</t>
        </is>
      </c>
      <c r="H1" s="55" t="inlineStr">
        <is>
          <t>Net Total ($)</t>
        </is>
      </c>
      <c r="I1" s="55" t="inlineStr">
        <is>
          <t>Realized Gain/Loss ($)</t>
        </is>
      </c>
      <c r="J1" s="54" t="inlineStr">
        <is>
          <t>Notes</t>
        </is>
      </c>
    </row>
    <row r="2" ht="19.5" customHeight="1" s="40">
      <c r="A2" s="68" t="inlineStr">
        <is>
          <t>TX-DEP-001</t>
        </is>
      </c>
      <c r="B2" s="69" t="inlineStr">
        <is>
          <t>2018-11-01</t>
        </is>
      </c>
      <c r="C2" s="69" t="inlineStr">
        <is>
          <t>DEPOSIT</t>
        </is>
      </c>
      <c r="D2" s="68" t="inlineStr">
        <is>
          <t>CASH</t>
        </is>
      </c>
      <c r="E2" s="70" t="n">
        <v>0</v>
      </c>
      <c r="F2" s="71" t="n">
        <v>0</v>
      </c>
      <c r="G2" s="71" t="n">
        <v>0</v>
      </c>
      <c r="H2" s="72">
        <f>SUM(H3:H80)</f>
        <v/>
      </c>
      <c r="I2" s="71" t="n">
        <v>0</v>
      </c>
      <c r="J2" s="69" t="inlineStr">
        <is>
          <t>Auto-funded capital deposit matching total cost basis of 78 imported Yahoo Finance lots</t>
        </is>
      </c>
    </row>
    <row r="3" ht="19.5" customHeight="1" s="40">
      <c r="A3" s="46" t="inlineStr">
        <is>
          <t>TX-YF-001</t>
        </is>
      </c>
      <c r="B3" s="60" t="inlineStr">
        <is>
          <t>2018-11-26</t>
        </is>
      </c>
      <c r="C3" s="60" t="inlineStr">
        <is>
          <t>BUY</t>
        </is>
      </c>
      <c r="D3" s="46" t="inlineStr">
        <is>
          <t>2800.HK</t>
        </is>
      </c>
      <c r="E3" s="53" t="n">
        <v>500</v>
      </c>
      <c r="F3" s="61" t="n">
        <v>26.56</v>
      </c>
      <c r="G3" s="61" t="n">
        <v>0</v>
      </c>
      <c r="H3" s="62">
        <f>ROUND(E3*F3+G3, 2)</f>
        <v/>
      </c>
      <c r="I3" s="61" t="n">
        <v>0</v>
      </c>
      <c r="J3" s="60" t="inlineStr">
        <is>
          <t>Yahoo Finance: KC ETF - HSI (2800.HK - Lot 13 at bottom edge; date estimated Nov 2018)</t>
        </is>
      </c>
    </row>
    <row r="4" ht="19.5" customHeight="1" s="40">
      <c r="A4" s="43" t="inlineStr">
        <is>
          <t>TX-YF-002</t>
        </is>
      </c>
      <c r="B4" s="56" t="inlineStr">
        <is>
          <t>2018-12-24</t>
        </is>
      </c>
      <c r="C4" s="56" t="inlineStr">
        <is>
          <t>BUY</t>
        </is>
      </c>
      <c r="D4" s="43" t="inlineStr">
        <is>
          <t>2800.HK</t>
        </is>
      </c>
      <c r="E4" s="52" t="n">
        <v>500</v>
      </c>
      <c r="F4" s="57" t="n">
        <v>25.81</v>
      </c>
      <c r="G4" s="57" t="n">
        <v>0</v>
      </c>
      <c r="H4" s="58">
        <f>ROUND(E4*F4+G4, 2)</f>
        <v/>
      </c>
      <c r="I4" s="57" t="n">
        <v>0</v>
      </c>
      <c r="J4" s="56" t="inlineStr">
        <is>
          <t>Yahoo Finance: KC ETF - HSI (2800.HK - 24 Dec 2018)</t>
        </is>
      </c>
    </row>
    <row r="5" ht="19.5" customHeight="1" s="40">
      <c r="A5" s="46" t="inlineStr">
        <is>
          <t>TX-YF-003</t>
        </is>
      </c>
      <c r="B5" s="60" t="inlineStr">
        <is>
          <t>2019-01-25</t>
        </is>
      </c>
      <c r="C5" s="60" t="inlineStr">
        <is>
          <t>BUY</t>
        </is>
      </c>
      <c r="D5" s="46" t="inlineStr">
        <is>
          <t>2800.HK</t>
        </is>
      </c>
      <c r="E5" s="53" t="n">
        <v>500</v>
      </c>
      <c r="F5" s="61" t="n">
        <v>27.76</v>
      </c>
      <c r="G5" s="61" t="n">
        <v>0</v>
      </c>
      <c r="H5" s="62">
        <f>ROUND(E5*F5+G5, 2)</f>
        <v/>
      </c>
      <c r="I5" s="61" t="n">
        <v>0</v>
      </c>
      <c r="J5" s="60" t="inlineStr">
        <is>
          <t>Yahoo Finance: KC ETF - HSI (2800.HK - 25 Jan 2019)</t>
        </is>
      </c>
    </row>
    <row r="6" ht="19.5" customHeight="1" s="40">
      <c r="A6" s="43" t="inlineStr">
        <is>
          <t>TX-YF-004</t>
        </is>
      </c>
      <c r="B6" s="56" t="inlineStr">
        <is>
          <t>2019-02-25</t>
        </is>
      </c>
      <c r="C6" s="56" t="inlineStr">
        <is>
          <t>BUY</t>
        </is>
      </c>
      <c r="D6" s="43" t="inlineStr">
        <is>
          <t>2800.HK</t>
        </is>
      </c>
      <c r="E6" s="52" t="n">
        <v>500</v>
      </c>
      <c r="F6" s="57" t="n">
        <v>29.41</v>
      </c>
      <c r="G6" s="57" t="n">
        <v>0</v>
      </c>
      <c r="H6" s="58">
        <f>ROUND(E6*F6+G6, 2)</f>
        <v/>
      </c>
      <c r="I6" s="57" t="n">
        <v>0</v>
      </c>
      <c r="J6" s="56" t="inlineStr">
        <is>
          <t>Yahoo Finance: KC ETF - HSI (2800.HK - 25 Feb 2019)</t>
        </is>
      </c>
    </row>
    <row r="7" ht="19.5" customHeight="1" s="40">
      <c r="A7" s="46" t="inlineStr">
        <is>
          <t>TX-YF-005</t>
        </is>
      </c>
      <c r="B7" s="60" t="inlineStr">
        <is>
          <t>2019-03-25</t>
        </is>
      </c>
      <c r="C7" s="60" t="inlineStr">
        <is>
          <t>BUY</t>
        </is>
      </c>
      <c r="D7" s="46" t="inlineStr">
        <is>
          <t>2800.HK</t>
        </is>
      </c>
      <c r="E7" s="53" t="n">
        <v>500</v>
      </c>
      <c r="F7" s="61" t="n">
        <v>29.01</v>
      </c>
      <c r="G7" s="61" t="n">
        <v>0</v>
      </c>
      <c r="H7" s="62">
        <f>ROUND(E7*F7+G7, 2)</f>
        <v/>
      </c>
      <c r="I7" s="61" t="n">
        <v>0</v>
      </c>
      <c r="J7" s="60" t="inlineStr">
        <is>
          <t>Yahoo Finance: KC ETF - HSI (2800.HK - 25 Mar 2019)</t>
        </is>
      </c>
    </row>
    <row r="8" ht="19.5" customHeight="1" s="40">
      <c r="A8" s="43" t="inlineStr">
        <is>
          <t>TX-YF-006</t>
        </is>
      </c>
      <c r="B8" s="56" t="inlineStr">
        <is>
          <t>2019-04-29</t>
        </is>
      </c>
      <c r="C8" s="56" t="inlineStr">
        <is>
          <t>BUY</t>
        </is>
      </c>
      <c r="D8" s="43" t="inlineStr">
        <is>
          <t>2800.HK</t>
        </is>
      </c>
      <c r="E8" s="52" t="n">
        <v>500</v>
      </c>
      <c r="F8" s="57" t="n">
        <v>30.06</v>
      </c>
      <c r="G8" s="57" t="n">
        <v>0</v>
      </c>
      <c r="H8" s="58">
        <f>ROUND(E8*F8+G8, 2)</f>
        <v/>
      </c>
      <c r="I8" s="57" t="n">
        <v>0</v>
      </c>
      <c r="J8" s="56" t="inlineStr">
        <is>
          <t>Yahoo Finance: KC ETF - HSI (2800.HK - 29 Apr 2019)</t>
        </is>
      </c>
    </row>
    <row r="9" ht="19.5" customHeight="1" s="40">
      <c r="A9" s="46" t="inlineStr">
        <is>
          <t>TX-YF-007</t>
        </is>
      </c>
      <c r="B9" s="60" t="inlineStr">
        <is>
          <t>2019-05-27</t>
        </is>
      </c>
      <c r="C9" s="60" t="inlineStr">
        <is>
          <t>BUY</t>
        </is>
      </c>
      <c r="D9" s="46" t="inlineStr">
        <is>
          <t>2800.HK</t>
        </is>
      </c>
      <c r="E9" s="53" t="n">
        <v>500</v>
      </c>
      <c r="F9" s="61" t="n">
        <v>27.76</v>
      </c>
      <c r="G9" s="61" t="n">
        <v>0</v>
      </c>
      <c r="H9" s="62">
        <f>ROUND(E9*F9+G9, 2)</f>
        <v/>
      </c>
      <c r="I9" s="61" t="n">
        <v>0</v>
      </c>
      <c r="J9" s="60" t="inlineStr">
        <is>
          <t>Yahoo Finance: KC ETF - HSI (2800.HK - 27 May 2019)</t>
        </is>
      </c>
    </row>
    <row r="10" ht="19.5" customHeight="1" s="40">
      <c r="A10" s="43" t="inlineStr">
        <is>
          <t>TX-YF-008</t>
        </is>
      </c>
      <c r="B10" s="56" t="inlineStr">
        <is>
          <t>2019-06-24</t>
        </is>
      </c>
      <c r="C10" s="56" t="inlineStr">
        <is>
          <t>BUY</t>
        </is>
      </c>
      <c r="D10" s="43" t="inlineStr">
        <is>
          <t>2800.HK</t>
        </is>
      </c>
      <c r="E10" s="52" t="n">
        <v>500</v>
      </c>
      <c r="F10" s="57" t="n">
        <v>29.16</v>
      </c>
      <c r="G10" s="57" t="n">
        <v>0</v>
      </c>
      <c r="H10" s="58">
        <f>ROUND(E10*F10+G10, 2)</f>
        <v/>
      </c>
      <c r="I10" s="57" t="n">
        <v>0</v>
      </c>
      <c r="J10" s="56" t="inlineStr">
        <is>
          <t>Yahoo Finance: KC ETF - HSI (2800.HK - 24 Jun 2019)</t>
        </is>
      </c>
    </row>
    <row r="11" ht="19.5" customHeight="1" s="40">
      <c r="A11" s="46" t="inlineStr">
        <is>
          <t>TX-YF-009</t>
        </is>
      </c>
      <c r="B11" s="60" t="inlineStr">
        <is>
          <t>2019-07-22</t>
        </is>
      </c>
      <c r="C11" s="60" t="inlineStr">
        <is>
          <t>BUY</t>
        </is>
      </c>
      <c r="D11" s="46" t="inlineStr">
        <is>
          <t>2800.HK</t>
        </is>
      </c>
      <c r="E11" s="53" t="n">
        <v>500</v>
      </c>
      <c r="F11" s="61" t="n">
        <v>29.16</v>
      </c>
      <c r="G11" s="61" t="n">
        <v>0</v>
      </c>
      <c r="H11" s="62">
        <f>ROUND(E11*F11+G11, 2)</f>
        <v/>
      </c>
      <c r="I11" s="61" t="n">
        <v>0</v>
      </c>
      <c r="J11" s="60" t="inlineStr">
        <is>
          <t>Yahoo Finance: KC ETF - HSI (2800.HK - 22 Jul 2019)</t>
        </is>
      </c>
    </row>
    <row r="12" ht="19.5" customHeight="1" s="40">
      <c r="A12" s="43" t="inlineStr">
        <is>
          <t>TX-YF-010</t>
        </is>
      </c>
      <c r="B12" s="56" t="inlineStr">
        <is>
          <t>2019-09-24</t>
        </is>
      </c>
      <c r="C12" s="56" t="inlineStr">
        <is>
          <t>BUY</t>
        </is>
      </c>
      <c r="D12" s="43" t="inlineStr">
        <is>
          <t>2800.HK</t>
        </is>
      </c>
      <c r="E12" s="52" t="n">
        <v>500</v>
      </c>
      <c r="F12" s="57" t="n">
        <v>27.26</v>
      </c>
      <c r="G12" s="57" t="n">
        <v>0</v>
      </c>
      <c r="H12" s="58">
        <f>ROUND(E12*F12+G12, 2)</f>
        <v/>
      </c>
      <c r="I12" s="57" t="n">
        <v>0</v>
      </c>
      <c r="J12" s="56" t="inlineStr">
        <is>
          <t>Yahoo Finance: KC ETF - HSI (2800.HK - 24 Sept 2019)</t>
        </is>
      </c>
    </row>
    <row r="13" ht="19.5" customHeight="1" s="40">
      <c r="A13" s="46" t="inlineStr">
        <is>
          <t>TX-YF-011</t>
        </is>
      </c>
      <c r="B13" s="60" t="inlineStr">
        <is>
          <t>2019-10-28</t>
        </is>
      </c>
      <c r="C13" s="60" t="inlineStr">
        <is>
          <t>BUY</t>
        </is>
      </c>
      <c r="D13" s="46" t="inlineStr">
        <is>
          <t>2800.HK</t>
        </is>
      </c>
      <c r="E13" s="53" t="n">
        <v>500</v>
      </c>
      <c r="F13" s="61" t="n">
        <v>27.91</v>
      </c>
      <c r="G13" s="61" t="n">
        <v>0</v>
      </c>
      <c r="H13" s="62">
        <f>ROUND(E13*F13+G13, 2)</f>
        <v/>
      </c>
      <c r="I13" s="61" t="n">
        <v>0</v>
      </c>
      <c r="J13" s="60" t="inlineStr">
        <is>
          <t>Yahoo Finance: KC ETF - HSI (2800.HK - 28 Oct 2019)</t>
        </is>
      </c>
    </row>
    <row r="14" ht="19.5" customHeight="1" s="40">
      <c r="A14" s="43" t="inlineStr">
        <is>
          <t>TX-YF-012</t>
        </is>
      </c>
      <c r="B14" s="56" t="inlineStr">
        <is>
          <t>2019-11-27</t>
        </is>
      </c>
      <c r="C14" s="56" t="inlineStr">
        <is>
          <t>BUY</t>
        </is>
      </c>
      <c r="D14" s="43" t="inlineStr">
        <is>
          <t>2800.HK</t>
        </is>
      </c>
      <c r="E14" s="52" t="n">
        <v>500</v>
      </c>
      <c r="F14" s="57" t="n">
        <v>27.26</v>
      </c>
      <c r="G14" s="57" t="n">
        <v>0</v>
      </c>
      <c r="H14" s="58">
        <f>ROUND(E14*F14+G14, 2)</f>
        <v/>
      </c>
      <c r="I14" s="57" t="n">
        <v>0</v>
      </c>
      <c r="J14" s="56" t="inlineStr">
        <is>
          <t>Yahoo Finance: KC ETF - HSI (2800.HK - 27 Nov 2019)</t>
        </is>
      </c>
    </row>
    <row r="15" ht="19.5" customHeight="1" s="40">
      <c r="A15" s="46" t="inlineStr">
        <is>
          <t>TX-YF-013</t>
        </is>
      </c>
      <c r="B15" s="60" t="inlineStr">
        <is>
          <t>2020-01-06</t>
        </is>
      </c>
      <c r="C15" s="60" t="inlineStr">
        <is>
          <t>BUY</t>
        </is>
      </c>
      <c r="D15" s="46" t="inlineStr">
        <is>
          <t>2800.HK</t>
        </is>
      </c>
      <c r="E15" s="53" t="n">
        <v>500</v>
      </c>
      <c r="F15" s="61" t="n">
        <v>28.51</v>
      </c>
      <c r="G15" s="61" t="n">
        <v>0</v>
      </c>
      <c r="H15" s="62">
        <f>ROUND(E15*F15+G15, 2)</f>
        <v/>
      </c>
      <c r="I15" s="61" t="n">
        <v>0</v>
      </c>
      <c r="J15" s="60" t="inlineStr">
        <is>
          <t>Yahoo Finance: KC ETF - HSI (2800.HK - 6 Jan 2020)</t>
        </is>
      </c>
    </row>
    <row r="16" ht="19.5" customHeight="1" s="40">
      <c r="A16" s="43" t="inlineStr">
        <is>
          <t>TX-YF-014</t>
        </is>
      </c>
      <c r="B16" s="56" t="inlineStr">
        <is>
          <t>2025-06-20</t>
        </is>
      </c>
      <c r="C16" s="56" t="inlineStr">
        <is>
          <t>BUY</t>
        </is>
      </c>
      <c r="D16" s="43" t="inlineStr">
        <is>
          <t>0002.HK</t>
        </is>
      </c>
      <c r="E16" s="52" t="n">
        <v>500</v>
      </c>
      <c r="F16" s="57" t="n">
        <v>65.95999999999999</v>
      </c>
      <c r="G16" s="57" t="n">
        <v>0</v>
      </c>
      <c r="H16" s="58">
        <f>ROUND(E16*F16+G16, 2)</f>
        <v/>
      </c>
      <c r="I16" s="57" t="n">
        <v>0</v>
      </c>
      <c r="J16" s="56" t="inlineStr">
        <is>
          <t>Yahoo Finance: KC Equity (0002.HK - 20 Jun 2025)</t>
        </is>
      </c>
    </row>
    <row r="17" ht="19.5" customHeight="1" s="40">
      <c r="A17" s="46" t="inlineStr">
        <is>
          <t>TX-YF-015</t>
        </is>
      </c>
      <c r="B17" s="60" t="inlineStr">
        <is>
          <t>2025-06-20</t>
        </is>
      </c>
      <c r="C17" s="60" t="inlineStr">
        <is>
          <t>BUY</t>
        </is>
      </c>
      <c r="D17" s="46" t="inlineStr">
        <is>
          <t>0003.HK</t>
        </is>
      </c>
      <c r="E17" s="53" t="n">
        <v>1000</v>
      </c>
      <c r="F17" s="61" t="n">
        <v>6.66</v>
      </c>
      <c r="G17" s="61" t="n">
        <v>0</v>
      </c>
      <c r="H17" s="62">
        <f>ROUND(E17*F17+G17, 2)</f>
        <v/>
      </c>
      <c r="I17" s="61" t="n">
        <v>0</v>
      </c>
      <c r="J17" s="60" t="inlineStr">
        <is>
          <t>Yahoo Finance: KC Equity (0003.HK - 20 Jun 2025)</t>
        </is>
      </c>
    </row>
    <row r="18" ht="19.5" customHeight="1" s="40">
      <c r="A18" s="43" t="inlineStr">
        <is>
          <t>TX-YF-016</t>
        </is>
      </c>
      <c r="B18" s="56" t="inlineStr">
        <is>
          <t>2025-06-20</t>
        </is>
      </c>
      <c r="C18" s="56" t="inlineStr">
        <is>
          <t>BUY</t>
        </is>
      </c>
      <c r="D18" s="43" t="inlineStr">
        <is>
          <t>0939.HK</t>
        </is>
      </c>
      <c r="E18" s="52" t="n">
        <v>1000</v>
      </c>
      <c r="F18" s="57" t="n">
        <v>7.55</v>
      </c>
      <c r="G18" s="57" t="n">
        <v>0</v>
      </c>
      <c r="H18" s="58">
        <f>ROUND(E18*F18+G18, 2)</f>
        <v/>
      </c>
      <c r="I18" s="57" t="n">
        <v>0</v>
      </c>
      <c r="J18" s="56" t="inlineStr">
        <is>
          <t>Yahoo Finance: KC Equity (0939.HK - 20 Jun 2025)</t>
        </is>
      </c>
    </row>
    <row r="19" ht="19.5" customHeight="1" s="40">
      <c r="A19" s="46" t="inlineStr">
        <is>
          <t>TX-YF-017</t>
        </is>
      </c>
      <c r="B19" s="60" t="inlineStr">
        <is>
          <t>2025-06-20</t>
        </is>
      </c>
      <c r="C19" s="60" t="inlineStr">
        <is>
          <t>BUY</t>
        </is>
      </c>
      <c r="D19" s="46" t="inlineStr">
        <is>
          <t>1093.HK</t>
        </is>
      </c>
      <c r="E19" s="53" t="n">
        <v>2000</v>
      </c>
      <c r="F19" s="61" t="n">
        <v>7.63</v>
      </c>
      <c r="G19" s="61" t="n">
        <v>0</v>
      </c>
      <c r="H19" s="62">
        <f>ROUND(E19*F19+G19, 2)</f>
        <v/>
      </c>
      <c r="I19" s="61" t="n">
        <v>0</v>
      </c>
      <c r="J19" s="60" t="inlineStr">
        <is>
          <t>Yahoo Finance: KC Equity (1093.HK - 20 Jun 2025)</t>
        </is>
      </c>
    </row>
    <row r="20" ht="19.5" customHeight="1" s="40">
      <c r="A20" s="43" t="inlineStr">
        <is>
          <t>TX-YF-018</t>
        </is>
      </c>
      <c r="B20" s="56" t="inlineStr">
        <is>
          <t>2025-06-20</t>
        </is>
      </c>
      <c r="C20" s="56" t="inlineStr">
        <is>
          <t>BUY</t>
        </is>
      </c>
      <c r="D20" s="43" t="inlineStr">
        <is>
          <t>2318.HK</t>
        </is>
      </c>
      <c r="E20" s="52" t="n">
        <v>500</v>
      </c>
      <c r="F20" s="57" t="n">
        <v>46.21</v>
      </c>
      <c r="G20" s="57" t="n">
        <v>0</v>
      </c>
      <c r="H20" s="58">
        <f>ROUND(E20*F20+G20, 2)</f>
        <v/>
      </c>
      <c r="I20" s="57" t="n">
        <v>0</v>
      </c>
      <c r="J20" s="56" t="inlineStr">
        <is>
          <t>Yahoo Finance: KC Equity (2318.HK - 20 Jun 2025)</t>
        </is>
      </c>
    </row>
    <row r="21" ht="19.5" customHeight="1" s="40">
      <c r="A21" s="46" t="inlineStr">
        <is>
          <t>TX-YF-019</t>
        </is>
      </c>
      <c r="B21" s="60" t="inlineStr">
        <is>
          <t>2025-07-04</t>
        </is>
      </c>
      <c r="C21" s="60" t="inlineStr">
        <is>
          <t>BUY</t>
        </is>
      </c>
      <c r="D21" s="46" t="inlineStr">
        <is>
          <t>0003.HK</t>
        </is>
      </c>
      <c r="E21" s="53" t="n">
        <v>1000</v>
      </c>
      <c r="F21" s="61" t="n">
        <v>6.7</v>
      </c>
      <c r="G21" s="61" t="n">
        <v>0</v>
      </c>
      <c r="H21" s="62">
        <f>ROUND(E21*F21+G21, 2)</f>
        <v/>
      </c>
      <c r="I21" s="61" t="n">
        <v>0</v>
      </c>
      <c r="J21" s="60" t="inlineStr">
        <is>
          <t>Yahoo Finance: KC Equity (0003.HK - 4 Jul 2025)</t>
        </is>
      </c>
    </row>
    <row r="22" ht="19.5" customHeight="1" s="40">
      <c r="A22" s="43" t="inlineStr">
        <is>
          <t>TX-YF-020</t>
        </is>
      </c>
      <c r="B22" s="56" t="inlineStr">
        <is>
          <t>2025-07-04</t>
        </is>
      </c>
      <c r="C22" s="56" t="inlineStr">
        <is>
          <t>BUY</t>
        </is>
      </c>
      <c r="D22" s="43" t="inlineStr">
        <is>
          <t>0939.HK</t>
        </is>
      </c>
      <c r="E22" s="52" t="n">
        <v>1000</v>
      </c>
      <c r="F22" s="57" t="n">
        <v>8.15</v>
      </c>
      <c r="G22" s="57" t="n">
        <v>0</v>
      </c>
      <c r="H22" s="58">
        <f>ROUND(E22*F22+G22, 2)</f>
        <v/>
      </c>
      <c r="I22" s="57" t="n">
        <v>0</v>
      </c>
      <c r="J22" s="56" t="inlineStr">
        <is>
          <t>Yahoo Finance: KC Equity (0939.HK - 4 Jul 2025)</t>
        </is>
      </c>
    </row>
    <row r="23" ht="19.5" customHeight="1" s="40">
      <c r="A23" s="46" t="inlineStr">
        <is>
          <t>TX-YF-021</t>
        </is>
      </c>
      <c r="B23" s="60" t="inlineStr">
        <is>
          <t>2025-07-04</t>
        </is>
      </c>
      <c r="C23" s="60" t="inlineStr">
        <is>
          <t>BUY</t>
        </is>
      </c>
      <c r="D23" s="46" t="inlineStr">
        <is>
          <t>1088.HK</t>
        </is>
      </c>
      <c r="E23" s="53" t="n">
        <v>1000</v>
      </c>
      <c r="F23" s="61" t="n">
        <v>31.15</v>
      </c>
      <c r="G23" s="61" t="n">
        <v>0</v>
      </c>
      <c r="H23" s="62">
        <f>ROUND(E23*F23+G23, 2)</f>
        <v/>
      </c>
      <c r="I23" s="61" t="n">
        <v>0</v>
      </c>
      <c r="J23" s="60" t="inlineStr">
        <is>
          <t>Yahoo Finance: KC Equity (1088.HK - 4 Jul 2025)</t>
        </is>
      </c>
    </row>
    <row r="24" ht="19.5" customHeight="1" s="40">
      <c r="A24" s="43" t="inlineStr">
        <is>
          <t>TX-YF-022</t>
        </is>
      </c>
      <c r="B24" s="56" t="inlineStr">
        <is>
          <t>2025-07-21</t>
        </is>
      </c>
      <c r="C24" s="56" t="inlineStr">
        <is>
          <t>BUY</t>
        </is>
      </c>
      <c r="D24" s="43" t="inlineStr">
        <is>
          <t>0002.HK</t>
        </is>
      </c>
      <c r="E24" s="52" t="n">
        <v>500</v>
      </c>
      <c r="F24" s="57" t="n">
        <v>66.76000000000001</v>
      </c>
      <c r="G24" s="57" t="n">
        <v>0</v>
      </c>
      <c r="H24" s="58">
        <f>ROUND(E24*F24+G24, 2)</f>
        <v/>
      </c>
      <c r="I24" s="57" t="n">
        <v>0</v>
      </c>
      <c r="J24" s="56" t="inlineStr">
        <is>
          <t>Yahoo Finance: KC Equity (0002.HK - 21 Jul 2025)</t>
        </is>
      </c>
    </row>
    <row r="25" ht="19.5" customHeight="1" s="40">
      <c r="A25" s="46" t="inlineStr">
        <is>
          <t>TX-YF-023</t>
        </is>
      </c>
      <c r="B25" s="60" t="inlineStr">
        <is>
          <t>2025-07-21</t>
        </is>
      </c>
      <c r="C25" s="60" t="inlineStr">
        <is>
          <t>BUY</t>
        </is>
      </c>
      <c r="D25" s="46" t="inlineStr">
        <is>
          <t>0003.HK</t>
        </is>
      </c>
      <c r="E25" s="53" t="n">
        <v>4000</v>
      </c>
      <c r="F25" s="61" t="n">
        <v>6.85</v>
      </c>
      <c r="G25" s="61" t="n">
        <v>0</v>
      </c>
      <c r="H25" s="62">
        <f>ROUND(E25*F25+G25, 2)</f>
        <v/>
      </c>
      <c r="I25" s="61" t="n">
        <v>0</v>
      </c>
      <c r="J25" s="60" t="inlineStr">
        <is>
          <t>Yahoo Finance: KC Equity (0003.HK - 21 Jul 2025)</t>
        </is>
      </c>
    </row>
    <row r="26" ht="19.5" customHeight="1" s="40">
      <c r="A26" s="43" t="inlineStr">
        <is>
          <t>TX-YF-024</t>
        </is>
      </c>
      <c r="B26" s="56" t="inlineStr">
        <is>
          <t>2025-07-21</t>
        </is>
      </c>
      <c r="C26" s="56" t="inlineStr">
        <is>
          <t>BUY</t>
        </is>
      </c>
      <c r="D26" s="43" t="inlineStr">
        <is>
          <t>0857.HK</t>
        </is>
      </c>
      <c r="E26" s="52" t="n">
        <v>2000</v>
      </c>
      <c r="F26" s="57" t="n">
        <v>7.48</v>
      </c>
      <c r="G26" s="57" t="n">
        <v>0</v>
      </c>
      <c r="H26" s="58">
        <f>ROUND(E26*F26+G26, 2)</f>
        <v/>
      </c>
      <c r="I26" s="57" t="n">
        <v>0</v>
      </c>
      <c r="J26" s="56" t="inlineStr">
        <is>
          <t>Yahoo Finance: KC Equity (0857.HK - 21 Jul 2025)</t>
        </is>
      </c>
    </row>
    <row r="27" ht="19.5" customHeight="1" s="40">
      <c r="A27" s="46" t="inlineStr">
        <is>
          <t>TX-YF-025</t>
        </is>
      </c>
      <c r="B27" s="60" t="inlineStr">
        <is>
          <t>2025-07-21</t>
        </is>
      </c>
      <c r="C27" s="60" t="inlineStr">
        <is>
          <t>BUY</t>
        </is>
      </c>
      <c r="D27" s="46" t="inlineStr">
        <is>
          <t>2318.HK</t>
        </is>
      </c>
      <c r="E27" s="53" t="n">
        <v>500</v>
      </c>
      <c r="F27" s="61" t="n">
        <v>53.22</v>
      </c>
      <c r="G27" s="61" t="n">
        <v>0</v>
      </c>
      <c r="H27" s="62">
        <f>ROUND(E27*F27+G27, 2)</f>
        <v/>
      </c>
      <c r="I27" s="61" t="n">
        <v>0</v>
      </c>
      <c r="J27" s="60" t="inlineStr">
        <is>
          <t>Yahoo Finance: KC Equity (2318.HK - 21 Jul 2025)</t>
        </is>
      </c>
    </row>
    <row r="28" ht="19.5" customHeight="1" s="40">
      <c r="A28" s="43" t="inlineStr">
        <is>
          <t>TX-YF-026</t>
        </is>
      </c>
      <c r="B28" s="56" t="inlineStr">
        <is>
          <t>2025-08-20</t>
        </is>
      </c>
      <c r="C28" s="56" t="inlineStr">
        <is>
          <t>BUY</t>
        </is>
      </c>
      <c r="D28" s="43" t="inlineStr">
        <is>
          <t>0002.HK</t>
        </is>
      </c>
      <c r="E28" s="52" t="n">
        <v>500</v>
      </c>
      <c r="F28" s="57" t="n">
        <v>66.11</v>
      </c>
      <c r="G28" s="57" t="n">
        <v>0</v>
      </c>
      <c r="H28" s="58">
        <f>ROUND(E28*F28+G28, 2)</f>
        <v/>
      </c>
      <c r="I28" s="57" t="n">
        <v>0</v>
      </c>
      <c r="J28" s="56" t="inlineStr">
        <is>
          <t>Yahoo Finance: KC Equity (0002.HK - 20 Aug 2025)</t>
        </is>
      </c>
    </row>
    <row r="29" ht="19.5" customHeight="1" s="40">
      <c r="A29" s="46" t="inlineStr">
        <is>
          <t>TX-YF-027</t>
        </is>
      </c>
      <c r="B29" s="60" t="inlineStr">
        <is>
          <t>2025-08-20</t>
        </is>
      </c>
      <c r="C29" s="60" t="inlineStr">
        <is>
          <t>BUY</t>
        </is>
      </c>
      <c r="D29" s="46" t="inlineStr">
        <is>
          <t>0857.HK</t>
        </is>
      </c>
      <c r="E29" s="53" t="n">
        <v>2000</v>
      </c>
      <c r="F29" s="61" t="n">
        <v>7.43</v>
      </c>
      <c r="G29" s="61" t="n">
        <v>0</v>
      </c>
      <c r="H29" s="62">
        <f>ROUND(E29*F29+G29, 2)</f>
        <v/>
      </c>
      <c r="I29" s="61" t="n">
        <v>0</v>
      </c>
      <c r="J29" s="60" t="inlineStr">
        <is>
          <t>Yahoo Finance: KC Equity (0857.HK - 20 Aug 2025)</t>
        </is>
      </c>
    </row>
    <row r="30" ht="19.5" customHeight="1" s="40">
      <c r="A30" s="43" t="inlineStr">
        <is>
          <t>TX-YF-028</t>
        </is>
      </c>
      <c r="B30" s="56" t="inlineStr">
        <is>
          <t>2025-08-20</t>
        </is>
      </c>
      <c r="C30" s="56" t="inlineStr">
        <is>
          <t>BUY</t>
        </is>
      </c>
      <c r="D30" s="43" t="inlineStr">
        <is>
          <t>0939.HK</t>
        </is>
      </c>
      <c r="E30" s="52" t="n">
        <v>4000</v>
      </c>
      <c r="F30" s="57" t="n">
        <v>7.73</v>
      </c>
      <c r="G30" s="57" t="n">
        <v>0</v>
      </c>
      <c r="H30" s="58">
        <f>ROUND(E30*F30+G30, 2)</f>
        <v/>
      </c>
      <c r="I30" s="57" t="n">
        <v>0</v>
      </c>
      <c r="J30" s="56" t="inlineStr">
        <is>
          <t>Yahoo Finance: KC Equity (0939.HK - 20 Aug 2025)</t>
        </is>
      </c>
    </row>
    <row r="31" ht="19.5" customHeight="1" s="40">
      <c r="A31" s="46" t="inlineStr">
        <is>
          <t>TX-YF-029</t>
        </is>
      </c>
      <c r="B31" s="60" t="inlineStr">
        <is>
          <t>2025-09-19</t>
        </is>
      </c>
      <c r="C31" s="60" t="inlineStr">
        <is>
          <t>BUY</t>
        </is>
      </c>
      <c r="D31" s="46" t="inlineStr">
        <is>
          <t>0386.HK</t>
        </is>
      </c>
      <c r="E31" s="53" t="n">
        <v>4000</v>
      </c>
      <c r="F31" s="61" t="n">
        <v>4.17</v>
      </c>
      <c r="G31" s="61" t="n">
        <v>0</v>
      </c>
      <c r="H31" s="62">
        <f>ROUND(E31*F31+G31, 2)</f>
        <v/>
      </c>
      <c r="I31" s="61" t="n">
        <v>0</v>
      </c>
      <c r="J31" s="60" t="inlineStr">
        <is>
          <t>Yahoo Finance: KC Equity (0386.HK - 19 Sept 2025)</t>
        </is>
      </c>
    </row>
    <row r="32" ht="19.5" customHeight="1" s="40">
      <c r="A32" s="43" t="inlineStr">
        <is>
          <t>TX-YF-030</t>
        </is>
      </c>
      <c r="B32" s="56" t="inlineStr">
        <is>
          <t>2025-09-19</t>
        </is>
      </c>
      <c r="C32" s="56" t="inlineStr">
        <is>
          <t>BUY</t>
        </is>
      </c>
      <c r="D32" s="43" t="inlineStr">
        <is>
          <t>0857.HK</t>
        </is>
      </c>
      <c r="E32" s="52" t="n">
        <v>2000</v>
      </c>
      <c r="F32" s="57" t="n">
        <v>7.29</v>
      </c>
      <c r="G32" s="57" t="n">
        <v>0</v>
      </c>
      <c r="H32" s="58">
        <f>ROUND(E32*F32+G32, 2)</f>
        <v/>
      </c>
      <c r="I32" s="57" t="n">
        <v>0</v>
      </c>
      <c r="J32" s="56" t="inlineStr">
        <is>
          <t>Yahoo Finance: KC Equity (0857.HK - 19 Sept 2025)</t>
        </is>
      </c>
    </row>
    <row r="33" ht="19.5" customHeight="1" s="40">
      <c r="A33" s="46" t="inlineStr">
        <is>
          <t>TX-YF-031</t>
        </is>
      </c>
      <c r="B33" s="60" t="inlineStr">
        <is>
          <t>2025-09-19</t>
        </is>
      </c>
      <c r="C33" s="60" t="inlineStr">
        <is>
          <t>BUY</t>
        </is>
      </c>
      <c r="D33" s="46" t="inlineStr">
        <is>
          <t>0939.HK</t>
        </is>
      </c>
      <c r="E33" s="53" t="n">
        <v>2000</v>
      </c>
      <c r="F33" s="61" t="n">
        <v>7.64</v>
      </c>
      <c r="G33" s="61" t="n">
        <v>0</v>
      </c>
      <c r="H33" s="62">
        <f>ROUND(E33*F33+G33, 2)</f>
        <v/>
      </c>
      <c r="I33" s="61" t="n">
        <v>0</v>
      </c>
      <c r="J33" s="60" t="inlineStr">
        <is>
          <t>Yahoo Finance: KC Equity (0939.HK - 19 Sept 2025)</t>
        </is>
      </c>
    </row>
    <row r="34" ht="19.5" customHeight="1" s="40">
      <c r="A34" s="43" t="inlineStr">
        <is>
          <t>TX-YF-032</t>
        </is>
      </c>
      <c r="B34" s="56" t="inlineStr">
        <is>
          <t>2025-09-19</t>
        </is>
      </c>
      <c r="C34" s="56" t="inlineStr">
        <is>
          <t>BUY</t>
        </is>
      </c>
      <c r="D34" s="43" t="inlineStr">
        <is>
          <t>1288.HK</t>
        </is>
      </c>
      <c r="E34" s="52" t="n">
        <v>2000</v>
      </c>
      <c r="F34" s="57" t="n">
        <v>5.36</v>
      </c>
      <c r="G34" s="57" t="n">
        <v>0</v>
      </c>
      <c r="H34" s="58">
        <f>ROUND(E34*F34+G34, 2)</f>
        <v/>
      </c>
      <c r="I34" s="57" t="n">
        <v>0</v>
      </c>
      <c r="J34" s="56" t="inlineStr">
        <is>
          <t>Yahoo Finance: KC Equity (1288.HK - 19 Sept 2025)</t>
        </is>
      </c>
    </row>
    <row r="35" ht="19.5" customHeight="1" s="40">
      <c r="A35" s="46" t="inlineStr">
        <is>
          <t>TX-YF-033</t>
        </is>
      </c>
      <c r="B35" s="60" t="inlineStr">
        <is>
          <t>2025-09-19</t>
        </is>
      </c>
      <c r="C35" s="60" t="inlineStr">
        <is>
          <t>BUY</t>
        </is>
      </c>
      <c r="D35" s="46" t="inlineStr">
        <is>
          <t>1398.HK</t>
        </is>
      </c>
      <c r="E35" s="53" t="n">
        <v>2000</v>
      </c>
      <c r="F35" s="61" t="n">
        <v>5.92</v>
      </c>
      <c r="G35" s="61" t="n">
        <v>0</v>
      </c>
      <c r="H35" s="62">
        <f>ROUND(E35*F35+G35, 2)</f>
        <v/>
      </c>
      <c r="I35" s="61" t="n">
        <v>0</v>
      </c>
      <c r="J35" s="60" t="inlineStr">
        <is>
          <t>Yahoo Finance: KC Equity (1398.HK - 19 Sept 2025)</t>
        </is>
      </c>
    </row>
    <row r="36" ht="19.5" customHeight="1" s="40">
      <c r="A36" s="43" t="inlineStr">
        <is>
          <t>TX-YF-034</t>
        </is>
      </c>
      <c r="B36" s="56" t="inlineStr">
        <is>
          <t>2025-09-19</t>
        </is>
      </c>
      <c r="C36" s="56" t="inlineStr">
        <is>
          <t>BUY</t>
        </is>
      </c>
      <c r="D36" s="43" t="inlineStr">
        <is>
          <t>2318.HK</t>
        </is>
      </c>
      <c r="E36" s="52" t="n">
        <v>500</v>
      </c>
      <c r="F36" s="57" t="n">
        <v>54.37</v>
      </c>
      <c r="G36" s="57" t="n">
        <v>0</v>
      </c>
      <c r="H36" s="58">
        <f>ROUND(E36*F36+G36, 2)</f>
        <v/>
      </c>
      <c r="I36" s="57" t="n">
        <v>0</v>
      </c>
      <c r="J36" s="56" t="inlineStr">
        <is>
          <t>Yahoo Finance: KC Equity (2318.HK - 19 Sept 2025)</t>
        </is>
      </c>
    </row>
    <row r="37" ht="19.5" customHeight="1" s="40">
      <c r="A37" s="46" t="inlineStr">
        <is>
          <t>TX-YF-035</t>
        </is>
      </c>
      <c r="B37" s="60" t="inlineStr">
        <is>
          <t>2025-10-20</t>
        </is>
      </c>
      <c r="C37" s="60" t="inlineStr">
        <is>
          <t>BUY</t>
        </is>
      </c>
      <c r="D37" s="46" t="inlineStr">
        <is>
          <t>0386.HK</t>
        </is>
      </c>
      <c r="E37" s="53" t="n">
        <v>4000</v>
      </c>
      <c r="F37" s="61" t="n">
        <v>4.08</v>
      </c>
      <c r="G37" s="61" t="n">
        <v>0</v>
      </c>
      <c r="H37" s="62">
        <f>ROUND(E37*F37+G37, 2)</f>
        <v/>
      </c>
      <c r="I37" s="61" t="n">
        <v>0</v>
      </c>
      <c r="J37" s="60" t="inlineStr">
        <is>
          <t>Yahoo Finance: KC Equity (0386.HK - 20 Oct 2025)</t>
        </is>
      </c>
    </row>
    <row r="38" ht="19.5" customHeight="1" s="40">
      <c r="A38" s="43" t="inlineStr">
        <is>
          <t>TX-YF-036</t>
        </is>
      </c>
      <c r="B38" s="56" t="inlineStr">
        <is>
          <t>2025-10-20</t>
        </is>
      </c>
      <c r="C38" s="56" t="inlineStr">
        <is>
          <t>BUY</t>
        </is>
      </c>
      <c r="D38" s="43" t="inlineStr">
        <is>
          <t>0939.HK</t>
        </is>
      </c>
      <c r="E38" s="52" t="n">
        <v>1000</v>
      </c>
      <c r="F38" s="57" t="n">
        <v>7.74</v>
      </c>
      <c r="G38" s="57" t="n">
        <v>0</v>
      </c>
      <c r="H38" s="58">
        <f>ROUND(E38*F38+G38, 2)</f>
        <v/>
      </c>
      <c r="I38" s="57" t="n">
        <v>0</v>
      </c>
      <c r="J38" s="56" t="inlineStr">
        <is>
          <t>Yahoo Finance: KC Equity (0939.HK - 20 Oct 2025)</t>
        </is>
      </c>
    </row>
    <row r="39" ht="19.5" customHeight="1" s="40">
      <c r="A39" s="46" t="inlineStr">
        <is>
          <t>TX-YF-037</t>
        </is>
      </c>
      <c r="B39" s="60" t="inlineStr">
        <is>
          <t>2025-10-20</t>
        </is>
      </c>
      <c r="C39" s="60" t="inlineStr">
        <is>
          <t>BUY</t>
        </is>
      </c>
      <c r="D39" s="46" t="inlineStr">
        <is>
          <t>1398.HK</t>
        </is>
      </c>
      <c r="E39" s="53" t="n">
        <v>2000</v>
      </c>
      <c r="F39" s="61" t="n">
        <v>5.88</v>
      </c>
      <c r="G39" s="61" t="n">
        <v>0</v>
      </c>
      <c r="H39" s="62">
        <f>ROUND(E39*F39+G39, 2)</f>
        <v/>
      </c>
      <c r="I39" s="61" t="n">
        <v>0</v>
      </c>
      <c r="J39" s="60" t="inlineStr">
        <is>
          <t>Yahoo Finance: KC Equity (1398.HK - 20 Oct 2025)</t>
        </is>
      </c>
    </row>
    <row r="40" ht="19.5" customHeight="1" s="40">
      <c r="A40" s="43" t="inlineStr">
        <is>
          <t>TX-YF-038</t>
        </is>
      </c>
      <c r="B40" s="56" t="inlineStr">
        <is>
          <t>2025-10-20</t>
        </is>
      </c>
      <c r="C40" s="56" t="inlineStr">
        <is>
          <t>BUY</t>
        </is>
      </c>
      <c r="D40" s="43" t="inlineStr">
        <is>
          <t>2318.HK</t>
        </is>
      </c>
      <c r="E40" s="52" t="n">
        <v>500</v>
      </c>
      <c r="F40" s="57" t="n">
        <v>55.02</v>
      </c>
      <c r="G40" s="57" t="n">
        <v>0</v>
      </c>
      <c r="H40" s="58">
        <f>ROUND(E40*F40+G40, 2)</f>
        <v/>
      </c>
      <c r="I40" s="57" t="n">
        <v>0</v>
      </c>
      <c r="J40" s="56" t="inlineStr">
        <is>
          <t>Yahoo Finance: KC Equity (2318.HK - 20 Oct 2025)</t>
        </is>
      </c>
    </row>
    <row r="41" ht="19.5" customHeight="1" s="40">
      <c r="A41" s="46" t="inlineStr">
        <is>
          <t>TX-YF-039</t>
        </is>
      </c>
      <c r="B41" s="60" t="inlineStr">
        <is>
          <t>2025-10-21</t>
        </is>
      </c>
      <c r="C41" s="60" t="inlineStr">
        <is>
          <t>BUY</t>
        </is>
      </c>
      <c r="D41" s="46" t="inlineStr">
        <is>
          <t>0006.HK</t>
        </is>
      </c>
      <c r="E41" s="53" t="n">
        <v>500</v>
      </c>
      <c r="F41" s="61" t="n">
        <v>50.61</v>
      </c>
      <c r="G41" s="61" t="n">
        <v>0</v>
      </c>
      <c r="H41" s="62">
        <f>ROUND(E41*F41+G41, 2)</f>
        <v/>
      </c>
      <c r="I41" s="61" t="n">
        <v>0</v>
      </c>
      <c r="J41" s="60" t="inlineStr">
        <is>
          <t>Yahoo Finance: KC Equity (0006.HK - 21 Oct 2025)</t>
        </is>
      </c>
    </row>
    <row r="42" ht="19.5" customHeight="1" s="40">
      <c r="A42" s="43" t="inlineStr">
        <is>
          <t>TX-YF-040</t>
        </is>
      </c>
      <c r="B42" s="56" t="inlineStr">
        <is>
          <t>2025-11-20</t>
        </is>
      </c>
      <c r="C42" s="56" t="inlineStr">
        <is>
          <t>BUY</t>
        </is>
      </c>
      <c r="D42" s="43" t="inlineStr">
        <is>
          <t>0012.HK</t>
        </is>
      </c>
      <c r="E42" s="52" t="n">
        <v>1000</v>
      </c>
      <c r="F42" s="57" t="n">
        <v>29.65</v>
      </c>
      <c r="G42" s="57" t="n">
        <v>0</v>
      </c>
      <c r="H42" s="58">
        <f>ROUND(E42*F42+G42, 2)</f>
        <v/>
      </c>
      <c r="I42" s="57" t="n">
        <v>0</v>
      </c>
      <c r="J42" s="56" t="inlineStr">
        <is>
          <t>Yahoo Finance: KC Equity (0012.HK - 20 Nov 2025)</t>
        </is>
      </c>
    </row>
    <row r="43" ht="19.5" customHeight="1" s="40">
      <c r="A43" s="46" t="inlineStr">
        <is>
          <t>TX-YF-041</t>
        </is>
      </c>
      <c r="B43" s="60" t="inlineStr">
        <is>
          <t>2025-11-20</t>
        </is>
      </c>
      <c r="C43" s="60" t="inlineStr">
        <is>
          <t>BUY</t>
        </is>
      </c>
      <c r="D43" s="46" t="inlineStr">
        <is>
          <t>1093.HK</t>
        </is>
      </c>
      <c r="E43" s="53" t="n">
        <v>2000</v>
      </c>
      <c r="F43" s="61" t="n">
        <v>7.66</v>
      </c>
      <c r="G43" s="61" t="n">
        <v>0</v>
      </c>
      <c r="H43" s="62">
        <f>ROUND(E43*F43+G43, 2)</f>
        <v/>
      </c>
      <c r="I43" s="61" t="n">
        <v>0</v>
      </c>
      <c r="J43" s="60" t="inlineStr">
        <is>
          <t>Yahoo Finance: KC Equity (1093.HK - 20 Nov 2025)</t>
        </is>
      </c>
    </row>
    <row r="44" ht="19.5" customHeight="1" s="40">
      <c r="A44" s="43" t="inlineStr">
        <is>
          <t>TX-YF-042</t>
        </is>
      </c>
      <c r="B44" s="56" t="inlineStr">
        <is>
          <t>2025-11-20</t>
        </is>
      </c>
      <c r="C44" s="56" t="inlineStr">
        <is>
          <t>BUY</t>
        </is>
      </c>
      <c r="D44" s="43" t="inlineStr">
        <is>
          <t>2318.HK</t>
        </is>
      </c>
      <c r="E44" s="52" t="n">
        <v>500</v>
      </c>
      <c r="F44" s="57" t="n">
        <v>58.39</v>
      </c>
      <c r="G44" s="57" t="n">
        <v>0</v>
      </c>
      <c r="H44" s="58">
        <f>ROUND(E44*F44+G44, 2)</f>
        <v/>
      </c>
      <c r="I44" s="57" t="n">
        <v>0</v>
      </c>
      <c r="J44" s="56" t="inlineStr">
        <is>
          <t>Yahoo Finance: KC Equity (2318.HK - 20 Nov 2025)</t>
        </is>
      </c>
    </row>
    <row r="45" ht="19.5" customHeight="1" s="40">
      <c r="A45" s="46" t="inlineStr">
        <is>
          <t>TX-YF-043</t>
        </is>
      </c>
      <c r="B45" s="60" t="inlineStr">
        <is>
          <t>2025-12-20</t>
        </is>
      </c>
      <c r="C45" s="60" t="inlineStr">
        <is>
          <t>BUY</t>
        </is>
      </c>
      <c r="D45" s="46" t="inlineStr">
        <is>
          <t>0857.HK</t>
        </is>
      </c>
      <c r="E45" s="53" t="n">
        <v>4000</v>
      </c>
      <c r="F45" s="61" t="n">
        <v>8.08</v>
      </c>
      <c r="G45" s="61" t="n">
        <v>0</v>
      </c>
      <c r="H45" s="62">
        <f>ROUND(E45*F45+G45, 2)</f>
        <v/>
      </c>
      <c r="I45" s="61" t="n">
        <v>0</v>
      </c>
      <c r="J45" s="60" t="inlineStr">
        <is>
          <t>Yahoo Finance: KC Equity (0857.HK - 20 Dec 2025)</t>
        </is>
      </c>
    </row>
    <row r="46" ht="19.5" customHeight="1" s="40">
      <c r="A46" s="43" t="inlineStr">
        <is>
          <t>TX-YF-044</t>
        </is>
      </c>
      <c r="B46" s="56" t="inlineStr">
        <is>
          <t>2025-12-20</t>
        </is>
      </c>
      <c r="C46" s="56" t="inlineStr">
        <is>
          <t>BUY</t>
        </is>
      </c>
      <c r="D46" s="43" t="inlineStr">
        <is>
          <t>1093.HK</t>
        </is>
      </c>
      <c r="E46" s="52" t="n">
        <v>2000</v>
      </c>
      <c r="F46" s="57" t="n">
        <v>8.279999999999999</v>
      </c>
      <c r="G46" s="57" t="n">
        <v>0</v>
      </c>
      <c r="H46" s="58">
        <f>ROUND(E46*F46+G46, 2)</f>
        <v/>
      </c>
      <c r="I46" s="57" t="n">
        <v>0</v>
      </c>
      <c r="J46" s="56" t="inlineStr">
        <is>
          <t>Yahoo Finance: KC Equity (1093.HK - 20 Dec 2025)</t>
        </is>
      </c>
    </row>
    <row r="47" ht="19.5" customHeight="1" s="40">
      <c r="A47" s="46" t="inlineStr">
        <is>
          <t>TX-YF-045</t>
        </is>
      </c>
      <c r="B47" s="60" t="inlineStr">
        <is>
          <t>2025-12-20</t>
        </is>
      </c>
      <c r="C47" s="60" t="inlineStr">
        <is>
          <t>BUY</t>
        </is>
      </c>
      <c r="D47" s="46" t="inlineStr">
        <is>
          <t>1288.HK</t>
        </is>
      </c>
      <c r="E47" s="53" t="n">
        <v>4000</v>
      </c>
      <c r="F47" s="61" t="n">
        <v>5.46</v>
      </c>
      <c r="G47" s="61" t="n">
        <v>0</v>
      </c>
      <c r="H47" s="62">
        <f>ROUND(E47*F47+G47, 2)</f>
        <v/>
      </c>
      <c r="I47" s="61" t="n">
        <v>0</v>
      </c>
      <c r="J47" s="60" t="inlineStr">
        <is>
          <t>Yahoo Finance: KC Equity (1288.HK - 20 Dec 2025)</t>
        </is>
      </c>
    </row>
    <row r="48" ht="19.5" customHeight="1" s="40">
      <c r="A48" s="43" t="inlineStr">
        <is>
          <t>TX-YF-046</t>
        </is>
      </c>
      <c r="B48" s="56" t="inlineStr">
        <is>
          <t>2025-12-20</t>
        </is>
      </c>
      <c r="C48" s="56" t="inlineStr">
        <is>
          <t>BUY</t>
        </is>
      </c>
      <c r="D48" s="43" t="inlineStr">
        <is>
          <t>1398.HK</t>
        </is>
      </c>
      <c r="E48" s="52" t="n">
        <v>4000</v>
      </c>
      <c r="F48" s="57" t="n">
        <v>6.13</v>
      </c>
      <c r="G48" s="57" t="n">
        <v>0</v>
      </c>
      <c r="H48" s="58">
        <f>ROUND(E48*F48+G48, 2)</f>
        <v/>
      </c>
      <c r="I48" s="57" t="n">
        <v>0</v>
      </c>
      <c r="J48" s="56" t="inlineStr">
        <is>
          <t>Yahoo Finance: KC Equity (1398.HK - 20 Dec 2025)</t>
        </is>
      </c>
    </row>
    <row r="49" ht="19.5" customHeight="1" s="40">
      <c r="A49" s="46" t="inlineStr">
        <is>
          <t>TX-YF-047</t>
        </is>
      </c>
      <c r="B49" s="60" t="inlineStr">
        <is>
          <t>2026-01-20</t>
        </is>
      </c>
      <c r="C49" s="60" t="inlineStr">
        <is>
          <t>BUY</t>
        </is>
      </c>
      <c r="D49" s="46" t="inlineStr">
        <is>
          <t>0003.HK</t>
        </is>
      </c>
      <c r="E49" s="53" t="n">
        <v>4000</v>
      </c>
      <c r="F49" s="61" t="n">
        <v>7.23</v>
      </c>
      <c r="G49" s="61" t="n">
        <v>0</v>
      </c>
      <c r="H49" s="62">
        <f>ROUND(E49*F49+G49, 2)</f>
        <v/>
      </c>
      <c r="I49" s="61" t="n">
        <v>0</v>
      </c>
      <c r="J49" s="60" t="inlineStr">
        <is>
          <t>Yahoo Finance: KC Equity (0003.HK - 20 Jan 2026)</t>
        </is>
      </c>
    </row>
    <row r="50" ht="19.5" customHeight="1" s="40">
      <c r="A50" s="43" t="inlineStr">
        <is>
          <t>TX-YF-048</t>
        </is>
      </c>
      <c r="B50" s="56" t="inlineStr">
        <is>
          <t>2026-01-20</t>
        </is>
      </c>
      <c r="C50" s="56" t="inlineStr">
        <is>
          <t>BUY</t>
        </is>
      </c>
      <c r="D50" s="43" t="inlineStr">
        <is>
          <t>0066.HK</t>
        </is>
      </c>
      <c r="E50" s="52" t="n">
        <v>1000</v>
      </c>
      <c r="F50" s="57" t="n">
        <v>31.78</v>
      </c>
      <c r="G50" s="57" t="n">
        <v>0</v>
      </c>
      <c r="H50" s="58">
        <f>ROUND(E50*F50+G50, 2)</f>
        <v/>
      </c>
      <c r="I50" s="57" t="n">
        <v>0</v>
      </c>
      <c r="J50" s="56" t="inlineStr">
        <is>
          <t>Yahoo Finance: KC Equity (0066.HK - 20 Jan 2026)</t>
        </is>
      </c>
    </row>
    <row r="51" ht="19.5" customHeight="1" s="40">
      <c r="A51" s="46" t="inlineStr">
        <is>
          <t>TX-YF-049</t>
        </is>
      </c>
      <c r="B51" s="60" t="inlineStr">
        <is>
          <t>2026-01-20</t>
        </is>
      </c>
      <c r="C51" s="60" t="inlineStr">
        <is>
          <t>BUY</t>
        </is>
      </c>
      <c r="D51" s="46" t="inlineStr">
        <is>
          <t>1288.HK</t>
        </is>
      </c>
      <c r="E51" s="53" t="n">
        <v>4000</v>
      </c>
      <c r="F51" s="61" t="n">
        <v>5.42</v>
      </c>
      <c r="G51" s="61" t="n">
        <v>0</v>
      </c>
      <c r="H51" s="62">
        <f>ROUND(E51*F51+G51, 2)</f>
        <v/>
      </c>
      <c r="I51" s="61" t="n">
        <v>0</v>
      </c>
      <c r="J51" s="60" t="inlineStr">
        <is>
          <t>Yahoo Finance: KC Equity (1288.HK - 20 Jan 2026)</t>
        </is>
      </c>
    </row>
    <row r="52" ht="19.5" customHeight="1" s="40">
      <c r="A52" s="43" t="inlineStr">
        <is>
          <t>TX-YF-050</t>
        </is>
      </c>
      <c r="B52" s="56" t="inlineStr">
        <is>
          <t>2026-02-12</t>
        </is>
      </c>
      <c r="C52" s="56" t="inlineStr">
        <is>
          <t>BUY</t>
        </is>
      </c>
      <c r="D52" s="43" t="inlineStr">
        <is>
          <t>3433.HK</t>
        </is>
      </c>
      <c r="E52" s="52" t="n">
        <v>500</v>
      </c>
      <c r="F52" s="57" t="n">
        <v>68.83</v>
      </c>
      <c r="G52" s="57" t="n">
        <v>0</v>
      </c>
      <c r="H52" s="58">
        <f>ROUND(E52*F52+G52, 2)</f>
        <v/>
      </c>
      <c r="I52" s="57" t="n">
        <v>0</v>
      </c>
      <c r="J52" s="56" t="inlineStr">
        <is>
          <t>Yahoo Finance: KC ETF (3433.HK - 12 Feb 2026)</t>
        </is>
      </c>
    </row>
    <row r="53" ht="19.5" customHeight="1" s="40">
      <c r="A53" s="46" t="inlineStr">
        <is>
          <t>TX-YF-051</t>
        </is>
      </c>
      <c r="B53" s="60" t="inlineStr">
        <is>
          <t>2026-02-12</t>
        </is>
      </c>
      <c r="C53" s="60" t="inlineStr">
        <is>
          <t>BUY</t>
        </is>
      </c>
      <c r="D53" s="46" t="inlineStr">
        <is>
          <t>3476.HK</t>
        </is>
      </c>
      <c r="E53" s="53" t="n">
        <v>2500</v>
      </c>
      <c r="F53" s="61" t="n">
        <v>15.11</v>
      </c>
      <c r="G53" s="61" t="n">
        <v>0</v>
      </c>
      <c r="H53" s="62">
        <f>ROUND(E53*F53+G53, 2)</f>
        <v/>
      </c>
      <c r="I53" s="61" t="n">
        <v>0</v>
      </c>
      <c r="J53" s="60" t="inlineStr">
        <is>
          <t>Yahoo Finance: KC ETF (3476.HK - 12 Feb 2026)</t>
        </is>
      </c>
    </row>
    <row r="54" ht="19.5" customHeight="1" s="40">
      <c r="A54" s="43" t="inlineStr">
        <is>
          <t>TX-YF-052</t>
        </is>
      </c>
      <c r="B54" s="56" t="inlineStr">
        <is>
          <t>2026-03-20</t>
        </is>
      </c>
      <c r="C54" s="56" t="inlineStr">
        <is>
          <t>BUY</t>
        </is>
      </c>
      <c r="D54" s="43" t="inlineStr">
        <is>
          <t>0066.HK</t>
        </is>
      </c>
      <c r="E54" s="52" t="n">
        <v>1000</v>
      </c>
      <c r="F54" s="57" t="n">
        <v>33.12</v>
      </c>
      <c r="G54" s="57" t="n">
        <v>0</v>
      </c>
      <c r="H54" s="58">
        <f>ROUND(E54*F54+G54, 2)</f>
        <v/>
      </c>
      <c r="I54" s="57" t="n">
        <v>0</v>
      </c>
      <c r="J54" s="56" t="inlineStr">
        <is>
          <t>Yahoo Finance: KC Equity (0066.HK - 20 Mar 2026)</t>
        </is>
      </c>
    </row>
    <row r="55" ht="19.5" customHeight="1" s="40">
      <c r="A55" s="46" t="inlineStr">
        <is>
          <t>TX-YF-053</t>
        </is>
      </c>
      <c r="B55" s="60" t="inlineStr">
        <is>
          <t>2026-03-20</t>
        </is>
      </c>
      <c r="C55" s="60" t="inlineStr">
        <is>
          <t>BUY</t>
        </is>
      </c>
      <c r="D55" s="46" t="inlineStr">
        <is>
          <t>0101.HK</t>
        </is>
      </c>
      <c r="E55" s="53" t="n">
        <v>3000</v>
      </c>
      <c r="F55" s="61" t="n">
        <v>9</v>
      </c>
      <c r="G55" s="61" t="n">
        <v>0</v>
      </c>
      <c r="H55" s="62">
        <f>ROUND(E55*F55+G55, 2)</f>
        <v/>
      </c>
      <c r="I55" s="61" t="n">
        <v>0</v>
      </c>
      <c r="J55" s="60" t="inlineStr">
        <is>
          <t>Yahoo Finance: KC Equity (0101.HK - 20 Mar 2026)</t>
        </is>
      </c>
    </row>
    <row r="56" ht="19.5" customHeight="1" s="40">
      <c r="A56" s="43" t="inlineStr">
        <is>
          <t>TX-YF-054</t>
        </is>
      </c>
      <c r="B56" s="56" t="inlineStr">
        <is>
          <t>2026-03-20</t>
        </is>
      </c>
      <c r="C56" s="56" t="inlineStr">
        <is>
          <t>BUY</t>
        </is>
      </c>
      <c r="D56" s="43" t="inlineStr">
        <is>
          <t>0386.HK</t>
        </is>
      </c>
      <c r="E56" s="52" t="n">
        <v>6000</v>
      </c>
      <c r="F56" s="57" t="n">
        <v>4.67</v>
      </c>
      <c r="G56" s="57" t="n">
        <v>0</v>
      </c>
      <c r="H56" s="58">
        <f>ROUND(E56*F56+G56, 2)</f>
        <v/>
      </c>
      <c r="I56" s="57" t="n">
        <v>0</v>
      </c>
      <c r="J56" s="56" t="inlineStr">
        <is>
          <t>Yahoo Finance: KC Equity (0386.HK - 20 Mar 2026)</t>
        </is>
      </c>
    </row>
    <row r="57" ht="19.5" customHeight="1" s="40">
      <c r="A57" s="46" t="inlineStr">
        <is>
          <t>TX-YF-055</t>
        </is>
      </c>
      <c r="B57" s="60" t="inlineStr">
        <is>
          <t>2026-03-20</t>
        </is>
      </c>
      <c r="C57" s="60" t="inlineStr">
        <is>
          <t>BUY</t>
        </is>
      </c>
      <c r="D57" s="46" t="inlineStr">
        <is>
          <t>3476.HK</t>
        </is>
      </c>
      <c r="E57" s="53" t="n">
        <v>2000</v>
      </c>
      <c r="F57" s="61" t="n">
        <v>15.07</v>
      </c>
      <c r="G57" s="61" t="n">
        <v>0</v>
      </c>
      <c r="H57" s="62">
        <f>ROUND(E57*F57+G57, 2)</f>
        <v/>
      </c>
      <c r="I57" s="61" t="n">
        <v>0</v>
      </c>
      <c r="J57" s="60" t="inlineStr">
        <is>
          <t>Yahoo Finance: KC ETF (3476.HK - 20 Mar 2026)</t>
        </is>
      </c>
    </row>
    <row r="58" ht="19.5" customHeight="1" s="40">
      <c r="A58" s="43" t="inlineStr">
        <is>
          <t>TX-YF-056</t>
        </is>
      </c>
      <c r="B58" s="56" t="inlineStr">
        <is>
          <t>2026-04-20</t>
        </is>
      </c>
      <c r="C58" s="56" t="inlineStr">
        <is>
          <t>BUY</t>
        </is>
      </c>
      <c r="D58" s="43" t="inlineStr">
        <is>
          <t>0012.HK</t>
        </is>
      </c>
      <c r="E58" s="52" t="n">
        <v>1000</v>
      </c>
      <c r="F58" s="57" t="n">
        <v>30.32</v>
      </c>
      <c r="G58" s="57" t="n">
        <v>0</v>
      </c>
      <c r="H58" s="58">
        <f>ROUND(E58*F58+G58, 2)</f>
        <v/>
      </c>
      <c r="I58" s="57" t="n">
        <v>0</v>
      </c>
      <c r="J58" s="56" t="inlineStr">
        <is>
          <t>Yahoo Finance: KC Equity (0012.HK - 20 Apr 2026)</t>
        </is>
      </c>
    </row>
    <row r="59" ht="19.5" customHeight="1" s="40">
      <c r="A59" s="46" t="inlineStr">
        <is>
          <t>TX-YF-057</t>
        </is>
      </c>
      <c r="B59" s="60" t="inlineStr">
        <is>
          <t>2026-04-20</t>
        </is>
      </c>
      <c r="C59" s="60" t="inlineStr">
        <is>
          <t>BUY</t>
        </is>
      </c>
      <c r="D59" s="46" t="inlineStr">
        <is>
          <t>2318.HK</t>
        </is>
      </c>
      <c r="E59" s="53" t="n">
        <v>500</v>
      </c>
      <c r="F59" s="61" t="n">
        <v>60.89</v>
      </c>
      <c r="G59" s="61" t="n">
        <v>0</v>
      </c>
      <c r="H59" s="62">
        <f>ROUND(E59*F59+G59, 2)</f>
        <v/>
      </c>
      <c r="I59" s="61" t="n">
        <v>0</v>
      </c>
      <c r="J59" s="60" t="inlineStr">
        <is>
          <t>Yahoo Finance: KC Equity (2318.HK - 20 Apr 2026)</t>
        </is>
      </c>
    </row>
    <row r="60" ht="19.5" customHeight="1" s="40">
      <c r="A60" s="43" t="inlineStr">
        <is>
          <t>TX-YF-058</t>
        </is>
      </c>
      <c r="B60" s="56" t="inlineStr">
        <is>
          <t>2026-04-20</t>
        </is>
      </c>
      <c r="C60" s="56" t="inlineStr">
        <is>
          <t>BUY</t>
        </is>
      </c>
      <c r="D60" s="43" t="inlineStr">
        <is>
          <t>3433.HK</t>
        </is>
      </c>
      <c r="E60" s="52" t="n">
        <v>500</v>
      </c>
      <c r="F60" s="57" t="n">
        <v>68.36</v>
      </c>
      <c r="G60" s="57" t="n">
        <v>0</v>
      </c>
      <c r="H60" s="58">
        <f>ROUND(E60*F60+G60, 2)</f>
        <v/>
      </c>
      <c r="I60" s="57" t="n">
        <v>0</v>
      </c>
      <c r="J60" s="56" t="inlineStr">
        <is>
          <t>Yahoo Finance: KC ETF (3433.HK - 20 Apr 2026)</t>
        </is>
      </c>
    </row>
    <row r="61" ht="19.5" customHeight="1" s="40">
      <c r="A61" s="46" t="inlineStr">
        <is>
          <t>TX-YF-059</t>
        </is>
      </c>
      <c r="B61" s="60" t="inlineStr">
        <is>
          <t>2026-04-20</t>
        </is>
      </c>
      <c r="C61" s="60" t="inlineStr">
        <is>
          <t>BUY</t>
        </is>
      </c>
      <c r="D61" s="46" t="inlineStr">
        <is>
          <t>3476.HK</t>
        </is>
      </c>
      <c r="E61" s="53" t="n">
        <v>2000</v>
      </c>
      <c r="F61" s="61" t="n">
        <v>15.06</v>
      </c>
      <c r="G61" s="61" t="n">
        <v>0</v>
      </c>
      <c r="H61" s="62">
        <f>ROUND(E61*F61+G61, 2)</f>
        <v/>
      </c>
      <c r="I61" s="61" t="n">
        <v>0</v>
      </c>
      <c r="J61" s="60" t="inlineStr">
        <is>
          <t>Yahoo Finance: KC ETF (3476.HK - 20 Apr 2026)</t>
        </is>
      </c>
    </row>
    <row r="62" ht="19.5" customHeight="1" s="40">
      <c r="A62" s="43" t="inlineStr">
        <is>
          <t>TX-YF-060</t>
        </is>
      </c>
      <c r="B62" s="56" t="inlineStr">
        <is>
          <t>2026-05-20</t>
        </is>
      </c>
      <c r="C62" s="56" t="inlineStr">
        <is>
          <t>BUY</t>
        </is>
      </c>
      <c r="D62" s="43" t="inlineStr">
        <is>
          <t>0101.HK</t>
        </is>
      </c>
      <c r="E62" s="52" t="n">
        <v>3000</v>
      </c>
      <c r="F62" s="57" t="n">
        <v>8.369999999999999</v>
      </c>
      <c r="G62" s="57" t="n">
        <v>0</v>
      </c>
      <c r="H62" s="58">
        <f>ROUND(E62*F62+G62, 2)</f>
        <v/>
      </c>
      <c r="I62" s="57" t="n">
        <v>0</v>
      </c>
      <c r="J62" s="56" t="inlineStr">
        <is>
          <t>Yahoo Finance: KC Equity (0101.HK - 20 May 2026)</t>
        </is>
      </c>
    </row>
    <row r="63" ht="19.5" customHeight="1" s="40">
      <c r="A63" s="46" t="inlineStr">
        <is>
          <t>TX-YF-061</t>
        </is>
      </c>
      <c r="B63" s="60" t="inlineStr">
        <is>
          <t>2026-05-20</t>
        </is>
      </c>
      <c r="C63" s="60" t="inlineStr">
        <is>
          <t>BUY</t>
        </is>
      </c>
      <c r="D63" s="46" t="inlineStr">
        <is>
          <t>1093.HK</t>
        </is>
      </c>
      <c r="E63" s="53" t="n">
        <v>4000</v>
      </c>
      <c r="F63" s="61" t="n">
        <v>7.43</v>
      </c>
      <c r="G63" s="61" t="n">
        <v>0</v>
      </c>
      <c r="H63" s="62">
        <f>ROUND(E63*F63+G63, 2)</f>
        <v/>
      </c>
      <c r="I63" s="61" t="n">
        <v>0</v>
      </c>
      <c r="J63" s="60" t="inlineStr">
        <is>
          <t>Yahoo Finance: KC Equity (1093.HK - 20 May 2026)</t>
        </is>
      </c>
    </row>
    <row r="64" ht="19.5" customHeight="1" s="40">
      <c r="A64" s="43" t="inlineStr">
        <is>
          <t>TX-YF-062</t>
        </is>
      </c>
      <c r="B64" s="56" t="inlineStr">
        <is>
          <t>2026-05-20</t>
        </is>
      </c>
      <c r="C64" s="56" t="inlineStr">
        <is>
          <t>BUY</t>
        </is>
      </c>
      <c r="D64" s="43" t="inlineStr">
        <is>
          <t>2318.HK</t>
        </is>
      </c>
      <c r="E64" s="52" t="n">
        <v>500</v>
      </c>
      <c r="F64" s="57" t="n">
        <v>60.89</v>
      </c>
      <c r="G64" s="57" t="n">
        <v>0</v>
      </c>
      <c r="H64" s="58">
        <f>ROUND(E64*F64+G64, 2)</f>
        <v/>
      </c>
      <c r="I64" s="57" t="n">
        <v>0</v>
      </c>
      <c r="J64" s="56" t="inlineStr">
        <is>
          <t>Yahoo Finance: KC Equity (2318.HK - 20 May 2026)</t>
        </is>
      </c>
    </row>
    <row r="65" ht="19.5" customHeight="1" s="40">
      <c r="A65" s="46" t="inlineStr">
        <is>
          <t>TX-YF-063</t>
        </is>
      </c>
      <c r="B65" s="60" t="inlineStr">
        <is>
          <t>2026-05-20</t>
        </is>
      </c>
      <c r="C65" s="60" t="inlineStr">
        <is>
          <t>BUY</t>
        </is>
      </c>
      <c r="D65" s="46" t="inlineStr">
        <is>
          <t>3195.HK</t>
        </is>
      </c>
      <c r="E65" s="53" t="n">
        <v>2000</v>
      </c>
      <c r="F65" s="61" t="n">
        <v>11.65</v>
      </c>
      <c r="G65" s="61" t="n">
        <v>0</v>
      </c>
      <c r="H65" s="62">
        <f>ROUND(E65*F65+G65, 2)</f>
        <v/>
      </c>
      <c r="I65" s="61" t="n">
        <v>0</v>
      </c>
      <c r="J65" s="60" t="inlineStr">
        <is>
          <t>Yahoo Finance: KC ETF (3195.HK - 20 May 2026)</t>
        </is>
      </c>
    </row>
    <row r="66" ht="19.5" customHeight="1" s="40">
      <c r="A66" s="43" t="inlineStr">
        <is>
          <t>TX-YF-064</t>
        </is>
      </c>
      <c r="B66" s="56" t="inlineStr">
        <is>
          <t>2026-06-18</t>
        </is>
      </c>
      <c r="C66" s="56" t="inlineStr">
        <is>
          <t>BUY</t>
        </is>
      </c>
      <c r="D66" s="43" t="inlineStr">
        <is>
          <t>0003.HK</t>
        </is>
      </c>
      <c r="E66" s="52" t="n">
        <v>5000</v>
      </c>
      <c r="F66" s="57" t="n">
        <v>6.7</v>
      </c>
      <c r="G66" s="57" t="n">
        <v>0</v>
      </c>
      <c r="H66" s="58">
        <f>ROUND(E66*F66+G66, 2)</f>
        <v/>
      </c>
      <c r="I66" s="57" t="n">
        <v>0</v>
      </c>
      <c r="J66" s="56" t="inlineStr">
        <is>
          <t>Yahoo Finance: KC Equity (0003.HK - 18 Jun 2026)</t>
        </is>
      </c>
    </row>
    <row r="67" ht="19.5" customHeight="1" s="40">
      <c r="A67" s="46" t="inlineStr">
        <is>
          <t>TX-YF-065</t>
        </is>
      </c>
      <c r="B67" s="60" t="inlineStr">
        <is>
          <t>2026-06-18</t>
        </is>
      </c>
      <c r="C67" s="60" t="inlineStr">
        <is>
          <t>BUY</t>
        </is>
      </c>
      <c r="D67" s="46" t="inlineStr">
        <is>
          <t>1299.HK</t>
        </is>
      </c>
      <c r="E67" s="53" t="n">
        <v>400</v>
      </c>
      <c r="F67" s="61" t="n">
        <v>74.18000000000001</v>
      </c>
      <c r="G67" s="61" t="n">
        <v>0</v>
      </c>
      <c r="H67" s="62">
        <f>ROUND(E67*F67+G67, 2)</f>
        <v/>
      </c>
      <c r="I67" s="61" t="n">
        <v>0</v>
      </c>
      <c r="J67" s="60" t="inlineStr">
        <is>
          <t>Yahoo Finance: KC Equity (1299.HK - 18 Jun 2026)</t>
        </is>
      </c>
    </row>
    <row r="68" ht="19.5" customHeight="1" s="40">
      <c r="A68" s="43" t="inlineStr">
        <is>
          <t>TX-YF-066</t>
        </is>
      </c>
      <c r="B68" s="56" t="inlineStr">
        <is>
          <t>2026-06-18</t>
        </is>
      </c>
      <c r="C68" s="56" t="inlineStr">
        <is>
          <t>BUY</t>
        </is>
      </c>
      <c r="D68" s="43" t="inlineStr">
        <is>
          <t>3476.HK</t>
        </is>
      </c>
      <c r="E68" s="52" t="n">
        <v>2000</v>
      </c>
      <c r="F68" s="57" t="n">
        <v>14.88</v>
      </c>
      <c r="G68" s="57" t="n">
        <v>0</v>
      </c>
      <c r="H68" s="58">
        <f>ROUND(E68*F68+G68, 2)</f>
        <v/>
      </c>
      <c r="I68" s="57" t="n">
        <v>0</v>
      </c>
      <c r="J68" s="56" t="inlineStr">
        <is>
          <t>Yahoo Finance: KC ETF (3476.HK - 18 Jun 2026)</t>
        </is>
      </c>
    </row>
    <row r="69" ht="19.5" customHeight="1" s="40">
      <c r="A69" s="46" t="inlineStr">
        <is>
          <t>TX-YF-067</t>
        </is>
      </c>
      <c r="B69" s="60" t="inlineStr">
        <is>
          <t>2026-07-14</t>
        </is>
      </c>
      <c r="C69" s="60" t="inlineStr">
        <is>
          <t>BUY</t>
        </is>
      </c>
      <c r="D69" s="46" t="inlineStr">
        <is>
          <t>0386.HK</t>
        </is>
      </c>
      <c r="E69" s="53" t="n">
        <v>8000</v>
      </c>
      <c r="F69" s="61" t="n">
        <v>4.14</v>
      </c>
      <c r="G69" s="61" t="n">
        <v>0</v>
      </c>
      <c r="H69" s="62">
        <f>ROUND(E69*F69+G69, 2)</f>
        <v/>
      </c>
      <c r="I69" s="61" t="n">
        <v>0</v>
      </c>
      <c r="J69" s="60" t="inlineStr">
        <is>
          <t>Yahoo Finance: KC Equity (0386.HK - 14 Jul 2026)</t>
        </is>
      </c>
    </row>
    <row r="70" ht="19.5" customHeight="1" s="40">
      <c r="A70" s="43" t="inlineStr">
        <is>
          <t>TX-YF-068</t>
        </is>
      </c>
      <c r="B70" s="56" t="inlineStr">
        <is>
          <t>2026-07-20</t>
        </is>
      </c>
      <c r="C70" s="56" t="inlineStr">
        <is>
          <t>BUY</t>
        </is>
      </c>
      <c r="D70" s="43" t="inlineStr">
        <is>
          <t>0857.HK</t>
        </is>
      </c>
      <c r="E70" s="52" t="n">
        <v>4000</v>
      </c>
      <c r="F70" s="57" t="n">
        <v>10.1</v>
      </c>
      <c r="G70" s="57" t="n">
        <v>0</v>
      </c>
      <c r="H70" s="58">
        <f>ROUND(E70*F70+G70, 2)</f>
        <v/>
      </c>
      <c r="I70" s="57" t="n">
        <v>0</v>
      </c>
      <c r="J70" s="56" t="inlineStr">
        <is>
          <t>Yahoo Finance: KC Equity (0857.HK - 20 Jul 2026)</t>
        </is>
      </c>
    </row>
    <row r="71" ht="19.5" customHeight="1" s="40">
      <c r="A71" s="46" t="inlineStr">
        <is>
          <t>TX-YF-069</t>
        </is>
      </c>
      <c r="B71" s="60" t="inlineStr">
        <is>
          <t>2026-07-20</t>
        </is>
      </c>
      <c r="C71" s="60" t="inlineStr">
        <is>
          <t>BUY</t>
        </is>
      </c>
      <c r="D71" s="46" t="inlineStr">
        <is>
          <t>1288.HK</t>
        </is>
      </c>
      <c r="E71" s="53" t="n">
        <v>6000</v>
      </c>
      <c r="F71" s="61" t="n">
        <v>5.9</v>
      </c>
      <c r="G71" s="61" t="n">
        <v>0</v>
      </c>
      <c r="H71" s="62">
        <f>ROUND(E71*F71+G71, 2)</f>
        <v/>
      </c>
      <c r="I71" s="61" t="n">
        <v>0</v>
      </c>
      <c r="J71" s="60" t="inlineStr">
        <is>
          <t>Yahoo Finance: KC Equity (1288.HK - 20 Jul 2026)</t>
        </is>
      </c>
    </row>
    <row r="72" ht="19.5" customHeight="1" s="40">
      <c r="A72" s="43" t="inlineStr">
        <is>
          <t>TX-YF-070</t>
        </is>
      </c>
      <c r="B72" s="56" t="inlineStr">
        <is>
          <t>2026-07-20</t>
        </is>
      </c>
      <c r="C72" s="56" t="inlineStr">
        <is>
          <t>BUY</t>
        </is>
      </c>
      <c r="D72" s="43" t="inlineStr">
        <is>
          <t>1299.HK</t>
        </is>
      </c>
      <c r="E72" s="52" t="n">
        <v>400</v>
      </c>
      <c r="F72" s="57" t="n">
        <v>76.89</v>
      </c>
      <c r="G72" s="57" t="n">
        <v>0</v>
      </c>
      <c r="H72" s="58">
        <f>ROUND(E72*F72+G72, 2)</f>
        <v/>
      </c>
      <c r="I72" s="57" t="n">
        <v>0</v>
      </c>
      <c r="J72" s="56" t="inlineStr">
        <is>
          <t>Yahoo Finance: KC Equity (1299.HK - 20 Jul 2026)</t>
        </is>
      </c>
    </row>
    <row r="73" ht="19.5" customHeight="1" s="40">
      <c r="A73" s="46" t="inlineStr">
        <is>
          <t>TX-YF-071</t>
        </is>
      </c>
      <c r="B73" s="60" t="inlineStr">
        <is>
          <t>2026-07-20</t>
        </is>
      </c>
      <c r="C73" s="60" t="inlineStr">
        <is>
          <t>BUY</t>
        </is>
      </c>
      <c r="D73" s="46" t="inlineStr">
        <is>
          <t>2318.HK</t>
        </is>
      </c>
      <c r="E73" s="53" t="n">
        <v>500</v>
      </c>
      <c r="F73" s="61" t="n">
        <v>56.13</v>
      </c>
      <c r="G73" s="61" t="n">
        <v>0</v>
      </c>
      <c r="H73" s="62">
        <f>ROUND(E73*F73+G73, 2)</f>
        <v/>
      </c>
      <c r="I73" s="61" t="n">
        <v>0</v>
      </c>
      <c r="J73" s="60" t="inlineStr">
        <is>
          <t>Yahoo Finance: KC Equity (2318.HK - 20 Jul 2026)</t>
        </is>
      </c>
    </row>
    <row r="74" ht="19.5" customHeight="1" s="40">
      <c r="A74" s="43" t="inlineStr">
        <is>
          <t>TX-YF-072</t>
        </is>
      </c>
      <c r="B74" s="56" t="inlineStr">
        <is>
          <t>2026-08-20</t>
        </is>
      </c>
      <c r="C74" s="56" t="inlineStr">
        <is>
          <t>BUY</t>
        </is>
      </c>
      <c r="D74" s="43" t="inlineStr">
        <is>
          <t>0101.HK</t>
        </is>
      </c>
      <c r="E74" s="52" t="n">
        <v>4000</v>
      </c>
      <c r="F74" s="57" t="n">
        <v>7.28</v>
      </c>
      <c r="G74" s="57" t="n">
        <v>0</v>
      </c>
      <c r="H74" s="58">
        <f>ROUND(E74*F74+G74, 2)</f>
        <v/>
      </c>
      <c r="I74" s="57" t="n">
        <v>0</v>
      </c>
      <c r="J74" s="56" t="inlineStr">
        <is>
          <t>Yahoo Finance: KC Equity (0101.HK - 20 Aug 2026)</t>
        </is>
      </c>
    </row>
    <row r="75" ht="19.5" customHeight="1" s="40">
      <c r="A75" s="46" t="inlineStr">
        <is>
          <t>TX-YF-073</t>
        </is>
      </c>
      <c r="B75" s="60" t="inlineStr">
        <is>
          <t>2026-08-20</t>
        </is>
      </c>
      <c r="C75" s="60" t="inlineStr">
        <is>
          <t>BUY</t>
        </is>
      </c>
      <c r="D75" s="46" t="inlineStr">
        <is>
          <t>0386.HK</t>
        </is>
      </c>
      <c r="E75" s="53" t="n">
        <v>8000</v>
      </c>
      <c r="F75" s="61" t="n">
        <v>4.38</v>
      </c>
      <c r="G75" s="61" t="n">
        <v>0</v>
      </c>
      <c r="H75" s="62">
        <f>ROUND(E75*F75+G75, 2)</f>
        <v/>
      </c>
      <c r="I75" s="61" t="n">
        <v>0</v>
      </c>
      <c r="J75" s="60" t="inlineStr">
        <is>
          <t>Yahoo Finance: KC Equity (0386.HK - 20 Aug 2026)</t>
        </is>
      </c>
    </row>
    <row r="76" ht="19.5" customHeight="1" s="40">
      <c r="A76" s="43" t="inlineStr">
        <is>
          <t>TX-YF-074</t>
        </is>
      </c>
      <c r="B76" s="56" t="inlineStr">
        <is>
          <t>2026-08-20</t>
        </is>
      </c>
      <c r="C76" s="56" t="inlineStr">
        <is>
          <t>BUY</t>
        </is>
      </c>
      <c r="D76" s="43" t="inlineStr">
        <is>
          <t>1378.HK</t>
        </is>
      </c>
      <c r="E76" s="52" t="n">
        <v>1500</v>
      </c>
      <c r="F76" s="57" t="n">
        <v>23.11</v>
      </c>
      <c r="G76" s="57" t="n">
        <v>0</v>
      </c>
      <c r="H76" s="58">
        <f>ROUND(E76*F76+G76, 2)</f>
        <v/>
      </c>
      <c r="I76" s="57" t="n">
        <v>0</v>
      </c>
      <c r="J76" s="56" t="inlineStr">
        <is>
          <t>Yahoo Finance: KC Equity (1378.HK - 20 Aug 2026)</t>
        </is>
      </c>
    </row>
    <row r="77" ht="19.5" customHeight="1" s="40">
      <c r="A77" s="46" t="inlineStr">
        <is>
          <t>TX-YF-075</t>
        </is>
      </c>
      <c r="B77" s="60" t="inlineStr">
        <is>
          <t>2026-09-18</t>
        </is>
      </c>
      <c r="C77" s="60" t="inlineStr">
        <is>
          <t>BUY</t>
        </is>
      </c>
      <c r="D77" s="46" t="inlineStr">
        <is>
          <t>0012.HK</t>
        </is>
      </c>
      <c r="E77" s="53" t="n">
        <v>1000</v>
      </c>
      <c r="F77" s="61" t="n">
        <v>26.04</v>
      </c>
      <c r="G77" s="61" t="n">
        <v>0</v>
      </c>
      <c r="H77" s="62">
        <f>ROUND(E77*F77+G77, 2)</f>
        <v/>
      </c>
      <c r="I77" s="61" t="n">
        <v>0</v>
      </c>
      <c r="J77" s="60" t="inlineStr">
        <is>
          <t>Yahoo Finance: KC Equity (0012.HK - 18 Sept 2026)</t>
        </is>
      </c>
    </row>
    <row r="78" ht="19.5" customHeight="1" s="40">
      <c r="A78" s="43" t="inlineStr">
        <is>
          <t>TX-YF-076</t>
        </is>
      </c>
      <c r="B78" s="56" t="inlineStr">
        <is>
          <t>2026-09-18</t>
        </is>
      </c>
      <c r="C78" s="56" t="inlineStr">
        <is>
          <t>BUY</t>
        </is>
      </c>
      <c r="D78" s="43" t="inlineStr">
        <is>
          <t>1378.HK</t>
        </is>
      </c>
      <c r="E78" s="52" t="n">
        <v>1500</v>
      </c>
      <c r="F78" s="57" t="n">
        <v>22.27</v>
      </c>
      <c r="G78" s="57" t="n">
        <v>0</v>
      </c>
      <c r="H78" s="58">
        <f>ROUND(E78*F78+G78, 2)</f>
        <v/>
      </c>
      <c r="I78" s="57" t="n">
        <v>0</v>
      </c>
      <c r="J78" s="56" t="inlineStr">
        <is>
          <t>Yahoo Finance: KC Equity (1378.HK - 18 Sept 2026)</t>
        </is>
      </c>
    </row>
    <row r="79" ht="19.5" customHeight="1" s="40">
      <c r="A79" s="46" t="inlineStr">
        <is>
          <t>TX-YF-077</t>
        </is>
      </c>
      <c r="B79" s="60" t="inlineStr">
        <is>
          <t>2026-09-18</t>
        </is>
      </c>
      <c r="C79" s="60" t="inlineStr">
        <is>
          <t>BUY</t>
        </is>
      </c>
      <c r="D79" s="46" t="inlineStr">
        <is>
          <t>2840.HK</t>
        </is>
      </c>
      <c r="E79" s="53" t="n">
        <v>7</v>
      </c>
      <c r="F79" s="61" t="n">
        <v>3140.69</v>
      </c>
      <c r="G79" s="61" t="n">
        <v>0</v>
      </c>
      <c r="H79" s="62">
        <f>ROUND(E79*F79+G79, 2)</f>
        <v/>
      </c>
      <c r="I79" s="61" t="n">
        <v>0</v>
      </c>
      <c r="J79" s="60" t="inlineStr">
        <is>
          <t>Yahoo Finance: KC ETF (2840.HK - 18 Sept 2026)</t>
        </is>
      </c>
    </row>
    <row r="80" ht="19.5" customHeight="1" s="40">
      <c r="A80" s="43" t="inlineStr">
        <is>
          <t>TX-YF-078</t>
        </is>
      </c>
      <c r="B80" s="56" t="inlineStr">
        <is>
          <t>2026-09-18</t>
        </is>
      </c>
      <c r="C80" s="56" t="inlineStr">
        <is>
          <t>BUY</t>
        </is>
      </c>
      <c r="D80" s="43" t="inlineStr">
        <is>
          <t>3077.HK</t>
        </is>
      </c>
      <c r="E80" s="52" t="n">
        <v>10</v>
      </c>
      <c r="F80" s="57" t="n">
        <v>3973.72</v>
      </c>
      <c r="G80" s="57" t="n">
        <v>0</v>
      </c>
      <c r="H80" s="58">
        <f>ROUND(E80*F80+G80, 2)</f>
        <v/>
      </c>
      <c r="I80" s="57" t="n">
        <v>0</v>
      </c>
      <c r="J80" s="56" t="inlineStr">
        <is>
          <t>Yahoo Finance: KC ETF (3077.HK - 18 Sept 2026, Lot 1 of 2)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39" min="1" max="1"/>
    <col width="12" customWidth="1" style="39" min="2" max="4"/>
    <col width="24" customWidth="1" style="39" min="5" max="5"/>
    <col width="20" customWidth="1" style="39" min="6" max="6"/>
    <col width="19" customWidth="1" style="39" min="7" max="7"/>
    <col width="21" customWidth="1" style="39" min="8" max="8"/>
    <col width="12" customWidth="1" style="39" min="9" max="9"/>
  </cols>
  <sheetData>
    <row r="1" ht="25.5" customHeight="1" s="40">
      <c r="A1" s="41" t="inlineStr">
        <is>
          <t>Dividend ID</t>
        </is>
      </c>
      <c r="B1" s="41" t="inlineStr">
        <is>
          <t>Ticker</t>
        </is>
      </c>
      <c r="C1" s="41" t="inlineStr">
        <is>
          <t>Pay Date</t>
        </is>
      </c>
      <c r="D1" s="41" t="inlineStr">
        <is>
          <t>Ex Date</t>
        </is>
      </c>
      <c r="E1" s="42" t="inlineStr">
        <is>
          <t>Payout Per Share ($)</t>
        </is>
      </c>
      <c r="F1" s="42" t="inlineStr">
        <is>
          <t>Total Payout ($)</t>
        </is>
      </c>
      <c r="G1" s="41" t="inlineStr">
        <is>
          <t>DRIP Reinvested</t>
        </is>
      </c>
      <c r="H1" s="42" t="inlineStr">
        <is>
          <t>DRIP Shares Added</t>
        </is>
      </c>
      <c r="I1" s="41" t="inlineStr">
        <is>
          <t>Notes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P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9" min="1" max="1"/>
    <col width="42" customWidth="1" style="39" min="2" max="2"/>
    <col width="15" customWidth="1" style="39" min="3" max="3"/>
    <col width="21" customWidth="1" style="39" min="4" max="4"/>
    <col width="24" customWidth="1" style="39" min="5" max="5"/>
    <col width="16" customWidth="1" style="39" min="6" max="6"/>
    <col width="13" customWidth="1" style="39" min="7" max="7"/>
    <col width="15" customWidth="1" style="39" min="8" max="8"/>
    <col width="12" customWidth="1" style="39" min="9" max="9"/>
    <col width="24" customWidth="1" style="39" min="10" max="10"/>
    <col width="14" customWidth="1" style="39" min="11" max="11"/>
    <col width="18" customWidth="1" style="39" min="12" max="12"/>
    <col width="12" customWidth="1" style="39" min="13" max="13"/>
    <col width="18" customWidth="1" style="39" min="14" max="14"/>
    <col width="21" customWidth="1" style="39" min="15" max="15"/>
    <col width="17" customWidth="1" style="39" min="16" max="16"/>
  </cols>
  <sheetData>
    <row r="1" ht="27.75" customHeight="1" s="40">
      <c r="A1" s="54" t="inlineStr">
        <is>
          <t>Ticker</t>
        </is>
      </c>
      <c r="B1" s="54" t="inlineStr">
        <is>
          <t>Company Name</t>
        </is>
      </c>
      <c r="C1" s="54" t="inlineStr">
        <is>
          <t>Sector</t>
        </is>
      </c>
      <c r="D1" s="55" t="inlineStr">
        <is>
          <t>Current Price ($)</t>
        </is>
      </c>
      <c r="E1" s="55" t="inlineStr">
        <is>
          <t>Target Buy Price ($)</t>
        </is>
      </c>
      <c r="F1" s="73" t="inlineStr">
        <is>
          <t>On Watchlist</t>
        </is>
      </c>
      <c r="G1" s="55" t="inlineStr">
        <is>
          <t>P/E Ratio</t>
        </is>
      </c>
      <c r="H1" s="55" t="inlineStr">
        <is>
          <t>Forward P/E</t>
        </is>
      </c>
      <c r="I1" s="55" t="inlineStr">
        <is>
          <t>EPS ($)</t>
        </is>
      </c>
      <c r="J1" s="55" t="inlineStr">
        <is>
          <t>Book Value/Share ($)</t>
        </is>
      </c>
      <c r="K1" s="54" t="inlineStr">
        <is>
          <t>Market Cap</t>
        </is>
      </c>
      <c r="L1" s="55" t="inlineStr">
        <is>
          <t>Debt to Equity</t>
        </is>
      </c>
      <c r="M1" s="55" t="inlineStr">
        <is>
          <t>ROE (%)</t>
        </is>
      </c>
      <c r="N1" s="54" t="inlineStr">
        <is>
          <t>Free Cash Flow</t>
        </is>
      </c>
      <c r="O1" s="55" t="inlineStr">
        <is>
          <t>FCF Per Share ($)</t>
        </is>
      </c>
      <c r="P1" s="55" t="inlineStr">
        <is>
          <t>Div Yield (%)</t>
        </is>
      </c>
    </row>
    <row r="2" ht="19.5" customHeight="1" s="40">
      <c r="A2" s="43" t="inlineStr">
        <is>
          <t>2318.HK</t>
        </is>
      </c>
      <c r="B2" s="56" t="inlineStr">
        <is>
          <t>Ping An Insurance (Group) Co of China Ltd</t>
        </is>
      </c>
      <c r="C2" s="56" t="inlineStr">
        <is>
          <t>Financials</t>
        </is>
      </c>
      <c r="D2" s="57" t="n">
        <v>50.05</v>
      </c>
      <c r="E2" s="57" t="n">
        <v>45</v>
      </c>
      <c r="F2" s="74" t="inlineStr">
        <is>
          <t>YES</t>
        </is>
      </c>
      <c r="G2" s="57" t="n">
        <v>8.4</v>
      </c>
      <c r="H2" s="57" t="n">
        <v>7.9</v>
      </c>
      <c r="I2" s="57" t="n">
        <v>5.96</v>
      </c>
      <c r="J2" s="57" t="n">
        <v>54.2</v>
      </c>
      <c r="K2" s="56" t="inlineStr">
        <is>
          <t>915.00B</t>
        </is>
      </c>
      <c r="L2" s="57" t="n">
        <v>0.85</v>
      </c>
      <c r="M2" s="57" t="n">
        <v>13.8</v>
      </c>
      <c r="N2" s="56" t="inlineStr">
        <is>
          <t>142.0B</t>
        </is>
      </c>
      <c r="O2" s="57" t="n">
        <v>5.2</v>
      </c>
      <c r="P2" s="57" t="n">
        <v>4.95</v>
      </c>
    </row>
    <row r="3" ht="19.5" customHeight="1" s="40">
      <c r="A3" s="46" t="inlineStr">
        <is>
          <t>0857.HK</t>
        </is>
      </c>
      <c r="B3" s="60" t="inlineStr">
        <is>
          <t>PetroChina Co Ltd</t>
        </is>
      </c>
      <c r="C3" s="60" t="inlineStr">
        <is>
          <t>Energy</t>
        </is>
      </c>
      <c r="D3" s="61" t="n">
        <v>9.994999999999999</v>
      </c>
      <c r="E3" s="61" t="n">
        <v>8.5</v>
      </c>
      <c r="F3" s="75" t="inlineStr">
        <is>
          <t>YES</t>
        </is>
      </c>
      <c r="G3" s="61" t="n">
        <v>9.5</v>
      </c>
      <c r="H3" s="61" t="n">
        <v>9.1</v>
      </c>
      <c r="I3" s="61" t="n">
        <v>1.05</v>
      </c>
      <c r="J3" s="61" t="n">
        <v>8.9</v>
      </c>
      <c r="K3" s="60" t="inlineStr">
        <is>
          <t>1.83T</t>
        </is>
      </c>
      <c r="L3" s="61" t="n">
        <v>0.24</v>
      </c>
      <c r="M3" s="61" t="n">
        <v>11.8</v>
      </c>
      <c r="N3" s="60" t="inlineStr">
        <is>
          <t>210.0B</t>
        </is>
      </c>
      <c r="O3" s="61" t="n">
        <v>1.15</v>
      </c>
      <c r="P3" s="61" t="n">
        <v>5.2</v>
      </c>
    </row>
    <row r="4" ht="19.5" customHeight="1" s="40">
      <c r="A4" s="43" t="inlineStr">
        <is>
          <t>0386.HK</t>
        </is>
      </c>
      <c r="B4" s="56" t="inlineStr">
        <is>
          <t>China Petroleum &amp; Chemical Corp (Sinopec)</t>
        </is>
      </c>
      <c r="C4" s="56" t="inlineStr">
        <is>
          <t>Energy</t>
        </is>
      </c>
      <c r="D4" s="57" t="n">
        <v>4.5</v>
      </c>
      <c r="E4" s="57" t="n">
        <v>4.1</v>
      </c>
      <c r="F4" s="74" t="inlineStr">
        <is>
          <t>YES</t>
        </is>
      </c>
      <c r="G4" s="57" t="n">
        <v>8.9</v>
      </c>
      <c r="H4" s="57" t="n">
        <v>8.4</v>
      </c>
      <c r="I4" s="57" t="n">
        <v>0.51</v>
      </c>
      <c r="J4" s="57" t="n">
        <v>6.85</v>
      </c>
      <c r="K4" s="56" t="inlineStr">
        <is>
          <t>545.00B</t>
        </is>
      </c>
      <c r="L4" s="57" t="n">
        <v>0.35</v>
      </c>
      <c r="M4" s="57" t="n">
        <v>8.6</v>
      </c>
      <c r="N4" s="56" t="inlineStr">
        <is>
          <t>95.0B</t>
        </is>
      </c>
      <c r="O4" s="57" t="n">
        <v>0.55</v>
      </c>
      <c r="P4" s="57" t="n">
        <v>6.8</v>
      </c>
    </row>
    <row r="5" ht="19.5" customHeight="1" s="40">
      <c r="A5" s="46" t="inlineStr">
        <is>
          <t>0002.HK</t>
        </is>
      </c>
      <c r="B5" s="60" t="inlineStr">
        <is>
          <t>CLP Holdings Ltd</t>
        </is>
      </c>
      <c r="C5" s="60" t="inlineStr">
        <is>
          <t>Utilities</t>
        </is>
      </c>
      <c r="D5" s="61" t="n">
        <v>77.15000000000001</v>
      </c>
      <c r="E5" s="61" t="n">
        <v>66</v>
      </c>
      <c r="F5" s="75" t="inlineStr">
        <is>
          <t>YES</t>
        </is>
      </c>
      <c r="G5" s="61" t="n">
        <v>14.8</v>
      </c>
      <c r="H5" s="61" t="n">
        <v>14.2</v>
      </c>
      <c r="I5" s="61" t="n">
        <v>5.21</v>
      </c>
      <c r="J5" s="61" t="n">
        <v>42.5</v>
      </c>
      <c r="K5" s="60" t="inlineStr">
        <is>
          <t>195.00B</t>
        </is>
      </c>
      <c r="L5" s="61" t="n">
        <v>0.48</v>
      </c>
      <c r="M5" s="61" t="n">
        <v>11.4</v>
      </c>
      <c r="N5" s="60" t="inlineStr">
        <is>
          <t>14.5B</t>
        </is>
      </c>
      <c r="O5" s="61" t="n">
        <v>4.8</v>
      </c>
      <c r="P5" s="61" t="n">
        <v>4.02</v>
      </c>
    </row>
    <row r="6" ht="19.5" customHeight="1" s="40">
      <c r="A6" s="43" t="inlineStr">
        <is>
          <t>0003.HK</t>
        </is>
      </c>
      <c r="B6" s="56" t="inlineStr">
        <is>
          <t>Hong Kong and China Gas Co Ltd</t>
        </is>
      </c>
      <c r="C6" s="56" t="inlineStr">
        <is>
          <t>Utilities</t>
        </is>
      </c>
      <c r="D6" s="57" t="n">
        <v>7.215</v>
      </c>
      <c r="E6" s="57" t="n">
        <v>6.75</v>
      </c>
      <c r="F6" s="74" t="inlineStr">
        <is>
          <t>YES</t>
        </is>
      </c>
      <c r="G6" s="57" t="n">
        <v>21.2</v>
      </c>
      <c r="H6" s="57" t="n">
        <v>19.8</v>
      </c>
      <c r="I6" s="57" t="n">
        <v>0.34</v>
      </c>
      <c r="J6" s="57" t="n">
        <v>3.25</v>
      </c>
      <c r="K6" s="56" t="inlineStr">
        <is>
          <t>134.60B</t>
        </is>
      </c>
      <c r="L6" s="57" t="n">
        <v>0.72</v>
      </c>
      <c r="M6" s="57" t="n">
        <v>10.2</v>
      </c>
      <c r="N6" s="56" t="inlineStr">
        <is>
          <t>6.8B</t>
        </is>
      </c>
      <c r="O6" s="57" t="n">
        <v>0.31</v>
      </c>
      <c r="P6" s="57" t="n">
        <v>4.85</v>
      </c>
    </row>
    <row r="7" ht="19.5" customHeight="1" s="40">
      <c r="A7" s="46" t="inlineStr">
        <is>
          <t>1288.HK</t>
        </is>
      </c>
      <c r="B7" s="60" t="inlineStr">
        <is>
          <t>Agricultural Bank of China Ltd</t>
        </is>
      </c>
      <c r="C7" s="60" t="inlineStr">
        <is>
          <t>Financials</t>
        </is>
      </c>
      <c r="D7" s="61" t="n">
        <v>6.74</v>
      </c>
      <c r="E7" s="61" t="n">
        <v>5.5</v>
      </c>
      <c r="F7" s="75" t="inlineStr">
        <is>
          <t>YES</t>
        </is>
      </c>
      <c r="G7" s="61" t="n">
        <v>6.4</v>
      </c>
      <c r="H7" s="61" t="n">
        <v>6.1</v>
      </c>
      <c r="I7" s="61" t="n">
        <v>1.05</v>
      </c>
      <c r="J7" s="61" t="n">
        <v>7.8</v>
      </c>
      <c r="K7" s="60" t="inlineStr">
        <is>
          <t>2.35T</t>
        </is>
      </c>
      <c r="L7" s="61" t="n">
        <v>0</v>
      </c>
      <c r="M7" s="61" t="n">
        <v>10.8</v>
      </c>
      <c r="N7" s="60" t="inlineStr">
        <is>
          <t>-</t>
        </is>
      </c>
      <c r="O7" s="61" t="n">
        <v>0.95</v>
      </c>
      <c r="P7" s="61" t="n">
        <v>5.1</v>
      </c>
    </row>
    <row r="8" ht="19.5" customHeight="1" s="40">
      <c r="A8" s="43" t="inlineStr">
        <is>
          <t>1093.HK</t>
        </is>
      </c>
      <c r="B8" s="56" t="inlineStr">
        <is>
          <t>CSPC Pharmaceutical Group Ltd</t>
        </is>
      </c>
      <c r="C8" s="56" t="inlineStr">
        <is>
          <t>Healthcare</t>
        </is>
      </c>
      <c r="D8" s="57" t="n">
        <v>8.880000000000001</v>
      </c>
      <c r="E8" s="57" t="n">
        <v>7.6</v>
      </c>
      <c r="F8" s="74" t="inlineStr">
        <is>
          <t>YES</t>
        </is>
      </c>
      <c r="G8" s="57" t="n">
        <v>14.5</v>
      </c>
      <c r="H8" s="57" t="n">
        <v>13.6</v>
      </c>
      <c r="I8" s="57" t="n">
        <v>0.61</v>
      </c>
      <c r="J8" s="57" t="n">
        <v>3.1</v>
      </c>
      <c r="K8" s="56" t="inlineStr">
        <is>
          <t>105.80B</t>
        </is>
      </c>
      <c r="L8" s="57" t="n">
        <v>0.05</v>
      </c>
      <c r="M8" s="57" t="n">
        <v>17.5</v>
      </c>
      <c r="N8" s="56" t="inlineStr">
        <is>
          <t>7.2B</t>
        </is>
      </c>
      <c r="O8" s="57" t="n">
        <v>0.58</v>
      </c>
      <c r="P8" s="57" t="n">
        <v>3.1</v>
      </c>
    </row>
    <row r="9" ht="19.5" customHeight="1" s="40">
      <c r="A9" s="46" t="inlineStr">
        <is>
          <t>0939.HK</t>
        </is>
      </c>
      <c r="B9" s="60" t="inlineStr">
        <is>
          <t>China Construction Bank Corp</t>
        </is>
      </c>
      <c r="C9" s="60" t="inlineStr">
        <is>
          <t>Financials</t>
        </is>
      </c>
      <c r="D9" s="61" t="n">
        <v>9.865</v>
      </c>
      <c r="E9" s="61" t="n">
        <v>7.75</v>
      </c>
      <c r="F9" s="75" t="inlineStr">
        <is>
          <t>YES</t>
        </is>
      </c>
      <c r="G9" s="61" t="n">
        <v>6.2</v>
      </c>
      <c r="H9" s="61" t="n">
        <v>5.95</v>
      </c>
      <c r="I9" s="61" t="n">
        <v>1.59</v>
      </c>
      <c r="J9" s="61" t="n">
        <v>12.8</v>
      </c>
      <c r="K9" s="60" t="inlineStr">
        <is>
          <t>2.46T</t>
        </is>
      </c>
      <c r="L9" s="61" t="n">
        <v>0</v>
      </c>
      <c r="M9" s="61" t="n">
        <v>11.5</v>
      </c>
      <c r="N9" s="60" t="inlineStr">
        <is>
          <t>-</t>
        </is>
      </c>
      <c r="O9" s="61" t="n">
        <v>1.4</v>
      </c>
      <c r="P9" s="61" t="n">
        <v>5.4</v>
      </c>
    </row>
    <row r="10" ht="19.5" customHeight="1" s="40">
      <c r="A10" s="43" t="inlineStr">
        <is>
          <t>0012.HK</t>
        </is>
      </c>
      <c r="B10" s="56" t="inlineStr">
        <is>
          <t>Henderson Land Development Co Ltd</t>
        </is>
      </c>
      <c r="C10" s="56" t="inlineStr">
        <is>
          <t>Real Estate</t>
        </is>
      </c>
      <c r="D10" s="57" t="n">
        <v>27.2</v>
      </c>
      <c r="E10" s="57" t="n">
        <v>26</v>
      </c>
      <c r="F10" s="74" t="inlineStr">
        <is>
          <t>YES</t>
        </is>
      </c>
      <c r="G10" s="57" t="n">
        <v>13.6</v>
      </c>
      <c r="H10" s="57" t="n">
        <v>13.1</v>
      </c>
      <c r="I10" s="57" t="n">
        <v>2</v>
      </c>
      <c r="J10" s="57" t="n">
        <v>66.8</v>
      </c>
      <c r="K10" s="56" t="inlineStr">
        <is>
          <t>131.70B</t>
        </is>
      </c>
      <c r="L10" s="57" t="n">
        <v>0.42</v>
      </c>
      <c r="M10" s="57" t="n">
        <v>3.2</v>
      </c>
      <c r="N10" s="56" t="inlineStr">
        <is>
          <t>9.4B</t>
        </is>
      </c>
      <c r="O10" s="57" t="n">
        <v>1.85</v>
      </c>
      <c r="P10" s="57" t="n">
        <v>6.62</v>
      </c>
    </row>
    <row r="11" ht="19.5" customHeight="1" s="40">
      <c r="A11" s="46" t="inlineStr">
        <is>
          <t>0066.HK</t>
        </is>
      </c>
      <c r="B11" s="60" t="inlineStr">
        <is>
          <t>MTR Corporation Ltd</t>
        </is>
      </c>
      <c r="C11" s="60" t="inlineStr">
        <is>
          <t>Industrials</t>
        </is>
      </c>
      <c r="D11" s="61" t="n">
        <v>32.38</v>
      </c>
      <c r="E11" s="61" t="n">
        <v>31</v>
      </c>
      <c r="F11" s="75" t="inlineStr">
        <is>
          <t>YES</t>
        </is>
      </c>
      <c r="G11" s="61" t="n">
        <v>16.8</v>
      </c>
      <c r="H11" s="61" t="n">
        <v>15.5</v>
      </c>
      <c r="I11" s="61" t="n">
        <v>1.93</v>
      </c>
      <c r="J11" s="61" t="n">
        <v>29.1</v>
      </c>
      <c r="K11" s="60" t="inlineStr">
        <is>
          <t>201.20B</t>
        </is>
      </c>
      <c r="L11" s="61" t="n">
        <v>0.31</v>
      </c>
      <c r="M11" s="61" t="n">
        <v>6.8</v>
      </c>
      <c r="N11" s="60" t="inlineStr">
        <is>
          <t>11.2B</t>
        </is>
      </c>
      <c r="O11" s="61" t="n">
        <v>1.75</v>
      </c>
      <c r="P11" s="61" t="n">
        <v>4.05</v>
      </c>
    </row>
    <row r="12" ht="19.5" customHeight="1" s="40">
      <c r="A12" s="43" t="inlineStr">
        <is>
          <t>0101.HK</t>
        </is>
      </c>
      <c r="B12" s="56" t="inlineStr">
        <is>
          <t>Hang Lung Properties Ltd</t>
        </is>
      </c>
      <c r="C12" s="56" t="inlineStr">
        <is>
          <t>Real Estate</t>
        </is>
      </c>
      <c r="D12" s="57" t="n">
        <v>6.4</v>
      </c>
      <c r="E12" s="57" t="n">
        <v>6.2</v>
      </c>
      <c r="F12" s="74" t="inlineStr">
        <is>
          <t>YES</t>
        </is>
      </c>
      <c r="G12" s="57" t="n">
        <v>7.4</v>
      </c>
      <c r="H12" s="57" t="n">
        <v>7.1</v>
      </c>
      <c r="I12" s="57" t="n">
        <v>0.86</v>
      </c>
      <c r="J12" s="57" t="n">
        <v>28.4</v>
      </c>
      <c r="K12" s="56" t="inlineStr">
        <is>
          <t>30.20B</t>
        </is>
      </c>
      <c r="L12" s="57" t="n">
        <v>0.36</v>
      </c>
      <c r="M12" s="57" t="n">
        <v>3.1</v>
      </c>
      <c r="N12" s="56" t="inlineStr">
        <is>
          <t>3.8B</t>
        </is>
      </c>
      <c r="O12" s="57" t="n">
        <v>0.78</v>
      </c>
      <c r="P12" s="57" t="n">
        <v>8.119999999999999</v>
      </c>
    </row>
    <row r="13" ht="19.5" customHeight="1" s="40">
      <c r="A13" s="46" t="inlineStr">
        <is>
          <t>1398.HK</t>
        </is>
      </c>
      <c r="B13" s="60" t="inlineStr">
        <is>
          <t>Industrial and Commercial Bank of China Ltd</t>
        </is>
      </c>
      <c r="C13" s="60" t="inlineStr">
        <is>
          <t>Financials</t>
        </is>
      </c>
      <c r="D13" s="61" t="n">
        <v>7.59</v>
      </c>
      <c r="E13" s="61" t="n">
        <v>6</v>
      </c>
      <c r="F13" s="75" t="inlineStr">
        <is>
          <t>YES</t>
        </is>
      </c>
      <c r="G13" s="61" t="n">
        <v>6.3</v>
      </c>
      <c r="H13" s="61" t="n">
        <v>6</v>
      </c>
      <c r="I13" s="61" t="n">
        <v>1.2</v>
      </c>
      <c r="J13" s="61" t="n">
        <v>10.4</v>
      </c>
      <c r="K13" s="60" t="inlineStr">
        <is>
          <t>2.70T</t>
        </is>
      </c>
      <c r="L13" s="61" t="n">
        <v>0</v>
      </c>
      <c r="M13" s="61" t="n">
        <v>10.6</v>
      </c>
      <c r="N13" s="60" t="inlineStr">
        <is>
          <t>-</t>
        </is>
      </c>
      <c r="O13" s="61" t="n">
        <v>1.08</v>
      </c>
      <c r="P13" s="61" t="n">
        <v>5.25</v>
      </c>
    </row>
    <row r="14" ht="19.5" customHeight="1" s="40">
      <c r="A14" s="43" t="inlineStr">
        <is>
          <t>1378.HK</t>
        </is>
      </c>
      <c r="B14" s="56" t="inlineStr">
        <is>
          <t>China Hongqiao Group Ltd</t>
        </is>
      </c>
      <c r="C14" s="56" t="inlineStr">
        <is>
          <t>Industrials</t>
        </is>
      </c>
      <c r="D14" s="57" t="n">
        <v>19.64</v>
      </c>
      <c r="E14" s="57" t="n">
        <v>18.5</v>
      </c>
      <c r="F14" s="74" t="inlineStr">
        <is>
          <t>YES</t>
        </is>
      </c>
      <c r="G14" s="57" t="n">
        <v>7.8</v>
      </c>
      <c r="H14" s="57" t="n">
        <v>7.4</v>
      </c>
      <c r="I14" s="57" t="n">
        <v>2.52</v>
      </c>
      <c r="J14" s="57" t="n">
        <v>11.2</v>
      </c>
      <c r="K14" s="56" t="inlineStr">
        <is>
          <t>186.10B</t>
        </is>
      </c>
      <c r="L14" s="57" t="n">
        <v>0.58</v>
      </c>
      <c r="M14" s="57" t="n">
        <v>18.4</v>
      </c>
      <c r="N14" s="56" t="inlineStr">
        <is>
          <t>22.5B</t>
        </is>
      </c>
      <c r="O14" s="57" t="n">
        <v>2.3</v>
      </c>
      <c r="P14" s="57" t="n">
        <v>6.4</v>
      </c>
    </row>
    <row r="15" ht="19.5" customHeight="1" s="40">
      <c r="A15" s="46" t="inlineStr">
        <is>
          <t>1299.HK</t>
        </is>
      </c>
      <c r="B15" s="60" t="inlineStr">
        <is>
          <t>AIA Group Ltd</t>
        </is>
      </c>
      <c r="C15" s="60" t="inlineStr">
        <is>
          <t>Financials</t>
        </is>
      </c>
      <c r="D15" s="61" t="n">
        <v>73.3</v>
      </c>
      <c r="E15" s="61" t="n">
        <v>70</v>
      </c>
      <c r="F15" s="75" t="inlineStr">
        <is>
          <t>YES</t>
        </is>
      </c>
      <c r="G15" s="61" t="n">
        <v>18.2</v>
      </c>
      <c r="H15" s="61" t="n">
        <v>16.5</v>
      </c>
      <c r="I15" s="61" t="n">
        <v>4.03</v>
      </c>
      <c r="J15" s="61" t="n">
        <v>26.4</v>
      </c>
      <c r="K15" s="60" t="inlineStr">
        <is>
          <t>820.00B</t>
        </is>
      </c>
      <c r="L15" s="61" t="n">
        <v>0.28</v>
      </c>
      <c r="M15" s="61" t="n">
        <v>14.8</v>
      </c>
      <c r="N15" s="60" t="inlineStr">
        <is>
          <t>48.0B</t>
        </is>
      </c>
      <c r="O15" s="61" t="n">
        <v>3.8</v>
      </c>
      <c r="P15" s="61" t="n">
        <v>2.3</v>
      </c>
    </row>
    <row r="16" ht="19.5" customHeight="1" s="40">
      <c r="A16" s="43" t="inlineStr">
        <is>
          <t>1088.HK</t>
        </is>
      </c>
      <c r="B16" s="56" t="inlineStr">
        <is>
          <t>China Shenhua Energy Co Ltd</t>
        </is>
      </c>
      <c r="C16" s="56" t="inlineStr">
        <is>
          <t>Energy</t>
        </is>
      </c>
      <c r="D16" s="57" t="n">
        <v>42.54</v>
      </c>
      <c r="E16" s="57" t="n">
        <v>32</v>
      </c>
      <c r="F16" s="74" t="inlineStr">
        <is>
          <t>YES</t>
        </is>
      </c>
      <c r="G16" s="57" t="n">
        <v>11.8</v>
      </c>
      <c r="H16" s="57" t="n">
        <v>11.2</v>
      </c>
      <c r="I16" s="57" t="n">
        <v>3.61</v>
      </c>
      <c r="J16" s="57" t="n">
        <v>21.5</v>
      </c>
      <c r="K16" s="56" t="inlineStr">
        <is>
          <t>845.00B</t>
        </is>
      </c>
      <c r="L16" s="57" t="n">
        <v>0.12</v>
      </c>
      <c r="M16" s="57" t="n">
        <v>15.6</v>
      </c>
      <c r="N16" s="56" t="inlineStr">
        <is>
          <t>88.0B</t>
        </is>
      </c>
      <c r="O16" s="57" t="n">
        <v>3.4</v>
      </c>
      <c r="P16" s="57" t="n">
        <v>5.9</v>
      </c>
    </row>
    <row r="17" ht="19.5" customHeight="1" s="40">
      <c r="A17" s="46" t="inlineStr">
        <is>
          <t>0006.HK</t>
        </is>
      </c>
      <c r="B17" s="60" t="inlineStr">
        <is>
          <t>Power Assets Holdings Ltd</t>
        </is>
      </c>
      <c r="C17" s="60" t="inlineStr">
        <is>
          <t>Utilities</t>
        </is>
      </c>
      <c r="D17" s="61" t="n">
        <v>60.55</v>
      </c>
      <c r="E17" s="61" t="n">
        <v>51</v>
      </c>
      <c r="F17" s="75" t="inlineStr">
        <is>
          <t>YES</t>
        </is>
      </c>
      <c r="G17" s="61" t="n">
        <v>19.5</v>
      </c>
      <c r="H17" s="61" t="n">
        <v>18.8</v>
      </c>
      <c r="I17" s="61" t="n">
        <v>3.11</v>
      </c>
      <c r="J17" s="61" t="n">
        <v>41.2</v>
      </c>
      <c r="K17" s="60" t="inlineStr">
        <is>
          <t>129.20B</t>
        </is>
      </c>
      <c r="L17" s="61" t="n">
        <v>0.04</v>
      </c>
      <c r="M17" s="61" t="n">
        <v>7.2</v>
      </c>
      <c r="N17" s="60" t="inlineStr">
        <is>
          <t>6.5B</t>
        </is>
      </c>
      <c r="O17" s="61" t="n">
        <v>2.95</v>
      </c>
      <c r="P17" s="61" t="n">
        <v>4.66</v>
      </c>
    </row>
    <row r="18" ht="19.5" customHeight="1" s="40">
      <c r="A18" s="43" t="inlineStr">
        <is>
          <t>2800.HK</t>
        </is>
      </c>
      <c r="B18" s="56" t="inlineStr">
        <is>
          <t>Tracker Fund of Hong Kong</t>
        </is>
      </c>
      <c r="C18" s="56" t="inlineStr">
        <is>
          <t>Index ETF</t>
        </is>
      </c>
      <c r="D18" s="57" t="n">
        <v>24.82</v>
      </c>
      <c r="E18" s="57" t="n">
        <v>23.5</v>
      </c>
      <c r="F18" s="74" t="inlineStr">
        <is>
          <t>YES</t>
        </is>
      </c>
      <c r="G18" s="57" t="n">
        <v>6.66</v>
      </c>
      <c r="H18" s="57" t="n">
        <v>6.5</v>
      </c>
      <c r="I18" s="57" t="n">
        <v>3.73</v>
      </c>
      <c r="J18" s="57" t="n">
        <v>24.86</v>
      </c>
      <c r="K18" s="56" t="inlineStr">
        <is>
          <t>126.78B</t>
        </is>
      </c>
      <c r="L18" s="57" t="n">
        <v>0</v>
      </c>
      <c r="M18" s="57" t="n">
        <v>11.2</v>
      </c>
      <c r="N18" s="56" t="inlineStr">
        <is>
          <t>-</t>
        </is>
      </c>
      <c r="O18" s="57" t="n">
        <v>3.2</v>
      </c>
      <c r="P18" s="57" t="n">
        <v>2.98</v>
      </c>
    </row>
    <row r="19" ht="19.5" customHeight="1" s="40">
      <c r="A19" s="46" t="inlineStr">
        <is>
          <t>3476.HK</t>
        </is>
      </c>
      <c r="B19" s="60" t="inlineStr">
        <is>
          <t>CSOP Hang Seng TECH Index Daily (-2x) Inverse Product</t>
        </is>
      </c>
      <c r="C19" s="60" t="inlineStr">
        <is>
          <t>Index ETF</t>
        </is>
      </c>
      <c r="D19" s="61" t="n">
        <v>14.95</v>
      </c>
      <c r="E19" s="61" t="n">
        <v>14.2</v>
      </c>
      <c r="F19" s="75" t="inlineStr">
        <is>
          <t>YES</t>
        </is>
      </c>
      <c r="G19" s="61" t="n">
        <v>0</v>
      </c>
      <c r="H19" s="61" t="n">
        <v>0</v>
      </c>
      <c r="I19" s="61" t="n">
        <v>0</v>
      </c>
      <c r="J19" s="61" t="n">
        <v>14.95</v>
      </c>
      <c r="K19" s="60" t="inlineStr">
        <is>
          <t>1.85B</t>
        </is>
      </c>
      <c r="L19" s="61" t="n">
        <v>0</v>
      </c>
      <c r="M19" s="61" t="n">
        <v>0</v>
      </c>
      <c r="N19" s="60" t="inlineStr">
        <is>
          <t>-</t>
        </is>
      </c>
      <c r="O19" s="61" t="n">
        <v>0</v>
      </c>
      <c r="P19" s="61" t="n">
        <v>0</v>
      </c>
    </row>
    <row r="20" ht="19.5" customHeight="1" s="40">
      <c r="A20" s="43" t="inlineStr">
        <is>
          <t>3433.HK</t>
        </is>
      </c>
      <c r="B20" s="56" t="inlineStr">
        <is>
          <t>CSOP FTSE China A50 Index ETF</t>
        </is>
      </c>
      <c r="C20" s="56" t="inlineStr">
        <is>
          <t>Index ETF</t>
        </is>
      </c>
      <c r="D20" s="57" t="n">
        <v>63.04</v>
      </c>
      <c r="E20" s="57" t="n">
        <v>60</v>
      </c>
      <c r="F20" s="74" t="inlineStr">
        <is>
          <t>YES</t>
        </is>
      </c>
      <c r="G20" s="57" t="n">
        <v>11.4</v>
      </c>
      <c r="H20" s="57" t="n">
        <v>10.8</v>
      </c>
      <c r="I20" s="57" t="n">
        <v>5.53</v>
      </c>
      <c r="J20" s="57" t="n">
        <v>63</v>
      </c>
      <c r="K20" s="56" t="inlineStr">
        <is>
          <t>4.20B</t>
        </is>
      </c>
      <c r="L20" s="57" t="n">
        <v>0</v>
      </c>
      <c r="M20" s="57" t="n">
        <v>12.5</v>
      </c>
      <c r="N20" s="56" t="inlineStr">
        <is>
          <t>-</t>
        </is>
      </c>
      <c r="O20" s="57" t="n">
        <v>4.8</v>
      </c>
      <c r="P20" s="57" t="n">
        <v>2.85</v>
      </c>
    </row>
    <row r="21" ht="19.5" customHeight="1" s="40">
      <c r="A21" s="46" t="inlineStr">
        <is>
          <t>3077.HK</t>
        </is>
      </c>
      <c r="B21" s="60" t="inlineStr">
        <is>
          <t>Premia US Treasury Floating Rate ETF</t>
        </is>
      </c>
      <c r="C21" s="60" t="inlineStr">
        <is>
          <t>Index ETF</t>
        </is>
      </c>
      <c r="D21" s="61" t="n">
        <v>3976.25</v>
      </c>
      <c r="E21" s="61" t="n">
        <v>3950</v>
      </c>
      <c r="F21" s="75" t="inlineStr">
        <is>
          <t>YES</t>
        </is>
      </c>
      <c r="G21" s="61" t="n">
        <v>0</v>
      </c>
      <c r="H21" s="61" t="n">
        <v>0</v>
      </c>
      <c r="I21" s="61" t="n">
        <v>0</v>
      </c>
      <c r="J21" s="61" t="n">
        <v>3976.25</v>
      </c>
      <c r="K21" s="60" t="inlineStr">
        <is>
          <t>1.12B</t>
        </is>
      </c>
      <c r="L21" s="61" t="n">
        <v>0</v>
      </c>
      <c r="M21" s="61" t="n">
        <v>0</v>
      </c>
      <c r="N21" s="60" t="inlineStr">
        <is>
          <t>-</t>
        </is>
      </c>
      <c r="O21" s="61" t="n">
        <v>0</v>
      </c>
      <c r="P21" s="61" t="n">
        <v>4.85</v>
      </c>
    </row>
    <row r="22" ht="19.5" customHeight="1" s="40">
      <c r="A22" s="43" t="inlineStr">
        <is>
          <t>3195.HK</t>
        </is>
      </c>
      <c r="B22" s="56" t="inlineStr">
        <is>
          <t>CSOP Hang Seng Index Daily (-1x) Inverse Product</t>
        </is>
      </c>
      <c r="C22" s="56" t="inlineStr">
        <is>
          <t>Index ETF</t>
        </is>
      </c>
      <c r="D22" s="57" t="n">
        <v>12.3</v>
      </c>
      <c r="E22" s="57" t="n">
        <v>11.5</v>
      </c>
      <c r="F22" s="74" t="inlineStr">
        <is>
          <t>YES</t>
        </is>
      </c>
      <c r="G22" s="57" t="n">
        <v>0</v>
      </c>
      <c r="H22" s="57" t="n">
        <v>0</v>
      </c>
      <c r="I22" s="57" t="n">
        <v>0</v>
      </c>
      <c r="J22" s="57" t="n">
        <v>12.3</v>
      </c>
      <c r="K22" s="56" t="inlineStr">
        <is>
          <t>1.40B</t>
        </is>
      </c>
      <c r="L22" s="57" t="n">
        <v>0</v>
      </c>
      <c r="M22" s="57" t="n">
        <v>0</v>
      </c>
      <c r="N22" s="56" t="inlineStr">
        <is>
          <t>-</t>
        </is>
      </c>
      <c r="O22" s="57" t="n">
        <v>0</v>
      </c>
      <c r="P22" s="57" t="n">
        <v>0</v>
      </c>
    </row>
    <row r="23" ht="19.5" customHeight="1" s="40">
      <c r="A23" s="46" t="inlineStr">
        <is>
          <t>2840.HK</t>
        </is>
      </c>
      <c r="B23" s="60" t="inlineStr">
        <is>
          <t>SPDR Gold Trust</t>
        </is>
      </c>
      <c r="C23" s="60" t="inlineStr">
        <is>
          <t>Index ETF</t>
        </is>
      </c>
      <c r="D23" s="61" t="n">
        <v>3011</v>
      </c>
      <c r="E23" s="61" t="n">
        <v>2900</v>
      </c>
      <c r="F23" s="75" t="inlineStr">
        <is>
          <t>YES</t>
        </is>
      </c>
      <c r="G23" s="61" t="n">
        <v>0</v>
      </c>
      <c r="H23" s="61" t="n">
        <v>0</v>
      </c>
      <c r="I23" s="61" t="n">
        <v>0</v>
      </c>
      <c r="J23" s="61" t="n">
        <v>3011</v>
      </c>
      <c r="K23" s="60" t="inlineStr">
        <is>
          <t>580.00B</t>
        </is>
      </c>
      <c r="L23" s="61" t="n">
        <v>0</v>
      </c>
      <c r="M23" s="61" t="n">
        <v>0</v>
      </c>
      <c r="N23" s="60" t="inlineStr">
        <is>
          <t>-</t>
        </is>
      </c>
      <c r="O23" s="61" t="n">
        <v>0</v>
      </c>
      <c r="P23" s="6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9" min="1" max="2"/>
    <col width="19" customWidth="1" style="39" min="3" max="3"/>
    <col width="12" customWidth="1" style="39" min="4" max="5"/>
    <col width="13" customWidth="1" style="39" min="6" max="6"/>
  </cols>
  <sheetData>
    <row r="1" ht="25.5" customHeight="1" s="40">
      <c r="A1" s="41" t="inlineStr">
        <is>
          <t>Ticker</t>
        </is>
      </c>
      <c r="B1" s="41" t="inlineStr">
        <is>
          <t>Month</t>
        </is>
      </c>
      <c r="C1" s="42" t="inlineStr">
        <is>
          <t>Close Price ($)</t>
        </is>
      </c>
      <c r="D1" s="42" t="inlineStr">
        <is>
          <t>High ($)</t>
        </is>
      </c>
      <c r="E1" s="42" t="inlineStr">
        <is>
          <t>Low ($)</t>
        </is>
      </c>
      <c r="F1" s="42" t="inlineStr">
        <is>
          <t>Volume</t>
        </is>
      </c>
    </row>
    <row r="2" ht="15" customHeight="1" s="40"/>
    <row r="3" ht="15" customHeight="1" s="40"/>
    <row r="4" ht="15" customHeight="1" s="40"/>
    <row r="5" ht="15" customHeight="1" s="40"/>
    <row r="6" ht="15" customHeight="1" s="40"/>
    <row r="7" ht="15" customHeight="1" s="40"/>
    <row r="8" ht="15" customHeight="1" s="40"/>
    <row r="9" ht="15" customHeight="1" s="40"/>
    <row r="10" ht="15" customHeight="1" s="40"/>
    <row r="11" ht="15" customHeight="1" s="40"/>
    <row r="12" ht="15" customHeight="1" s="40"/>
    <row r="13" ht="15" customHeight="1" s="40"/>
    <row r="14" ht="15" customHeight="1" s="40"/>
    <row r="15" ht="15" customHeight="1" s="40"/>
    <row r="16" ht="15" customHeight="1" s="40"/>
    <row r="17" ht="15" customHeight="1" s="40"/>
    <row r="18" ht="15" customHeight="1" s="40"/>
    <row r="19" ht="15" customHeight="1" s="40"/>
    <row r="20" ht="15" customHeight="1" s="40"/>
    <row r="21" ht="15" customHeight="1" s="40"/>
    <row r="22" ht="15" customHeight="1" s="40"/>
    <row r="23" ht="15" customHeight="1" s="40"/>
    <row r="24" ht="15" customHeight="1" s="40"/>
    <row r="25" ht="15" customHeight="1" s="40"/>
    <row r="26" ht="15" customHeight="1" s="40"/>
    <row r="27" ht="15" customHeight="1" s="40"/>
    <row r="28" ht="15" customHeight="1" s="40"/>
    <row r="29" ht="15" customHeight="1" s="40"/>
    <row r="30" ht="15" customHeight="1" s="40"/>
    <row r="31" ht="15" customHeight="1" s="40"/>
    <row r="32" ht="15" customHeight="1" s="40"/>
    <row r="33" ht="15" customHeight="1" s="40"/>
    <row r="34" ht="15" customHeight="1" s="40"/>
    <row r="35" ht="15" customHeight="1" s="40"/>
    <row r="36" ht="15" customHeight="1" s="40"/>
    <row r="37" ht="15" customHeight="1" s="40"/>
    <row r="38" ht="15" customHeight="1" s="40"/>
    <row r="39" ht="15" customHeight="1" s="40"/>
    <row r="40" ht="15" customHeight="1" s="40"/>
    <row r="41" ht="15" customHeight="1" s="40"/>
    <row r="42" ht="15" customHeight="1" s="40"/>
    <row r="43" ht="15" customHeight="1" s="40"/>
    <row r="44" ht="15" customHeight="1" s="40"/>
    <row r="45" ht="15" customHeight="1" s="40"/>
    <row r="46" ht="15" customHeight="1" s="40"/>
    <row r="47" ht="15" customHeight="1" s="40"/>
    <row r="48" ht="15" customHeight="1" s="40"/>
    <row r="49" ht="15" customHeight="1" s="40"/>
    <row r="50" ht="15" customHeight="1" s="40"/>
    <row r="51" ht="15" customHeight="1" s="40"/>
    <row r="52" ht="15" customHeight="1" s="40"/>
    <row r="53" ht="15" customHeight="1" s="40"/>
    <row r="54" ht="15" customHeight="1" s="40"/>
    <row r="55" ht="15" customHeight="1" s="40"/>
    <row r="56" ht="15" customHeight="1" s="40"/>
    <row r="57" ht="15" customHeight="1" s="40"/>
    <row r="58" ht="15" customHeight="1" s="40"/>
    <row r="59" ht="15" customHeight="1" s="40"/>
    <row r="60" ht="15" customHeight="1" s="40"/>
    <row r="61" ht="15" customHeight="1" s="40"/>
    <row r="62" ht="15" customHeight="1" s="40"/>
    <row r="63" ht="15" customHeight="1" s="40"/>
    <row r="64" ht="15" customHeight="1" s="40"/>
    <row r="65" ht="15" customHeight="1" s="40"/>
    <row r="66" ht="15" customHeight="1" s="40"/>
    <row r="67" ht="15" customHeight="1" s="40"/>
    <row r="68" ht="15" customHeight="1" s="40"/>
    <row r="69" ht="15" customHeight="1" s="40"/>
    <row r="70" ht="15" customHeight="1" s="40"/>
    <row r="71" ht="15" customHeight="1" s="40"/>
    <row r="72" ht="15" customHeight="1" s="40"/>
    <row r="73" ht="15" customHeight="1" s="40"/>
    <row r="74" ht="15" customHeight="1" s="40"/>
    <row r="75" ht="15" customHeight="1" s="40"/>
    <row r="76" ht="15" customHeight="1" s="40"/>
    <row r="77" ht="15" customHeight="1" s="40"/>
    <row r="78" ht="15" customHeight="1" s="40"/>
    <row r="79" ht="15" customHeight="1" s="40"/>
    <row r="80" ht="15" customHeight="1" s="40"/>
    <row r="81" ht="15" customHeight="1" s="40"/>
    <row r="82" ht="15" customHeight="1" s="40"/>
    <row r="83" ht="15" customHeight="1" s="40"/>
    <row r="84" ht="15" customHeight="1" s="40"/>
    <row r="85" ht="15" customHeight="1" s="40"/>
    <row r="86" ht="15" customHeight="1" s="40"/>
    <row r="87" ht="15" customHeight="1" s="40"/>
    <row r="88" ht="15" customHeight="1" s="40"/>
    <row r="89" ht="15" customHeight="1" s="40"/>
    <row r="90" ht="15" customHeight="1" s="40"/>
    <row r="91" ht="15" customHeight="1" s="40"/>
    <row r="92" ht="15" customHeight="1" s="40"/>
    <row r="93" ht="15" customHeight="1" s="40"/>
    <row r="94" ht="15" customHeight="1" s="40"/>
    <row r="95" ht="15" customHeight="1" s="40"/>
    <row r="96" ht="15" customHeight="1" s="40"/>
    <row r="97" ht="15" customHeight="1" s="40"/>
    <row r="98" ht="15" customHeight="1" s="40"/>
    <row r="99" ht="15" customHeight="1" s="40"/>
    <row r="100" ht="15" customHeight="1" s="40"/>
    <row r="101" ht="15" customHeight="1" s="40"/>
    <row r="102" ht="15" customHeight="1" s="40"/>
    <row r="103" ht="15" customHeight="1" s="40"/>
    <row r="104" ht="15" customHeight="1" s="40"/>
    <row r="105" ht="15" customHeight="1" s="40"/>
    <row r="106" ht="15" customHeight="1" s="40"/>
    <row r="107" ht="15" customHeight="1" s="40"/>
    <row r="108" ht="15" customHeight="1" s="40"/>
    <row r="109" ht="15" customHeight="1" s="40"/>
    <row r="110" ht="15" customHeight="1" s="40"/>
    <row r="111" ht="15" customHeight="1" s="40"/>
    <row r="112" ht="15" customHeight="1" s="40"/>
    <row r="113" ht="15" customHeight="1" s="40"/>
    <row r="114" ht="15" customHeight="1" s="40"/>
    <row r="115" ht="15" customHeight="1" s="40"/>
    <row r="116" ht="15" customHeight="1" s="40"/>
    <row r="117" ht="15" customHeight="1" s="40"/>
    <row r="118" ht="15" customHeight="1" s="40"/>
    <row r="119" ht="15" customHeight="1" s="40"/>
    <row r="120" ht="15" customHeight="1" s="40"/>
    <row r="121" ht="15" customHeight="1" s="40"/>
    <row r="122" ht="15" customHeight="1" s="40"/>
    <row r="123" ht="15" customHeight="1" s="40"/>
    <row r="124" ht="15" customHeight="1" s="40"/>
    <row r="125" ht="15" customHeight="1" s="40"/>
    <row r="126" ht="15" customHeight="1" s="40"/>
    <row r="127" ht="15" customHeight="1" s="40"/>
    <row r="128" ht="15" customHeight="1" s="40"/>
    <row r="129" ht="15" customHeight="1" s="40"/>
    <row r="130" ht="15" customHeight="1" s="40"/>
    <row r="131" ht="15" customHeight="1" s="40"/>
    <row r="132" ht="15" customHeight="1" s="40"/>
    <row r="133" ht="15" customHeight="1" s="40"/>
    <row r="134" ht="15" customHeight="1" s="40"/>
    <row r="135" ht="15" customHeight="1" s="40"/>
    <row r="136" ht="15" customHeight="1" s="40"/>
    <row r="137" ht="15" customHeight="1" s="40"/>
    <row r="138" ht="15" customHeight="1" s="40"/>
    <row r="139" ht="15" customHeight="1" s="40"/>
    <row r="140" ht="15" customHeight="1" s="40"/>
    <row r="141" ht="15" customHeight="1" s="40"/>
    <row r="142" ht="15" customHeight="1" s="40"/>
    <row r="143" ht="15" customHeight="1" s="40"/>
    <row r="144" ht="15" customHeight="1" s="40"/>
    <row r="145" ht="15" customHeight="1" s="40"/>
    <row r="146" ht="15" customHeight="1" s="40"/>
    <row r="147" ht="15" customHeight="1" s="40"/>
    <row r="148" ht="15" customHeight="1" s="40"/>
    <row r="149" ht="15" customHeight="1" s="40"/>
    <row r="150" ht="15" customHeight="1" s="40"/>
    <row r="151" ht="15" customHeight="1" s="40"/>
    <row r="152" ht="15" customHeight="1" s="40"/>
    <row r="153" ht="15" customHeight="1" s="40"/>
    <row r="154" ht="15" customHeight="1" s="40"/>
    <row r="155" ht="15" customHeight="1" s="40"/>
    <row r="156" ht="15" customHeight="1" s="40"/>
    <row r="157" ht="15" customHeight="1" s="40"/>
    <row r="158" ht="15" customHeight="1" s="40"/>
    <row r="159" ht="15" customHeight="1" s="40"/>
    <row r="160" ht="15" customHeight="1" s="40"/>
    <row r="161" ht="15" customHeight="1" s="40"/>
    <row r="162" ht="15" customHeight="1" s="40"/>
    <row r="163" ht="15" customHeight="1" s="40"/>
    <row r="164" ht="15" customHeight="1" s="40"/>
    <row r="165" ht="15" customHeight="1" s="40"/>
    <row r="166" ht="15" customHeight="1" s="40"/>
    <row r="167" ht="15" customHeight="1" s="40"/>
    <row r="168" ht="15" customHeight="1" s="40"/>
    <row r="169" ht="15" customHeight="1" s="40"/>
    <row r="170" ht="15" customHeight="1" s="40"/>
    <row r="171" ht="15" customHeight="1" s="40"/>
    <row r="172" ht="15" customHeight="1" s="40"/>
    <row r="173" ht="15" customHeight="1" s="40"/>
    <row r="174" ht="15" customHeight="1" s="40"/>
    <row r="175" ht="15" customHeight="1" s="40"/>
    <row r="176" ht="15" customHeight="1" s="40"/>
    <row r="177" ht="15" customHeight="1" s="40"/>
    <row r="178" ht="15" customHeight="1" s="40"/>
    <row r="179" ht="15" customHeight="1" s="40"/>
    <row r="180" ht="15" customHeight="1" s="40"/>
    <row r="181" ht="15" customHeight="1" s="40"/>
    <row r="182" ht="15" customHeight="1" s="40"/>
    <row r="183" ht="15" customHeight="1" s="40"/>
    <row r="184" ht="15" customHeight="1" s="40"/>
    <row r="185" ht="15" customHeight="1" s="40"/>
    <row r="186" ht="15" customHeight="1" s="40"/>
    <row r="187" ht="15" customHeight="1" s="40"/>
    <row r="188" ht="15" customHeight="1" s="40"/>
    <row r="189" ht="15" customHeight="1" s="40"/>
    <row r="190" ht="15" customHeight="1" s="40"/>
    <row r="191" ht="15" customHeight="1" s="40"/>
    <row r="192" ht="15" customHeight="1" s="40"/>
    <row r="193" ht="15" customHeight="1" s="40"/>
    <row r="194" ht="15" customHeight="1" s="40"/>
    <row r="195" ht="15" customHeight="1" s="40"/>
    <row r="196" ht="15" customHeight="1" s="40"/>
    <row r="197" ht="15" customHeight="1" s="40"/>
    <row r="198" ht="15" customHeight="1" s="40"/>
    <row r="199" ht="15" customHeight="1" s="40"/>
    <row r="200" ht="15" customHeight="1" s="40"/>
    <row r="201" ht="15" customHeight="1" s="40"/>
    <row r="202" ht="15" customHeight="1" s="40"/>
    <row r="203" ht="15" customHeight="1" s="40"/>
    <row r="204" ht="15" customHeight="1" s="40"/>
    <row r="205" ht="15" customHeight="1" s="40"/>
    <row r="206" ht="15" customHeight="1" s="40"/>
    <row r="207" ht="15" customHeight="1" s="40"/>
    <row r="208" ht="15" customHeight="1" s="40"/>
    <row r="209" ht="15" customHeight="1" s="40"/>
    <row r="210" ht="15" customHeight="1" s="40"/>
    <row r="211" ht="15" customHeight="1" s="40"/>
    <row r="212" ht="15" customHeight="1" s="40"/>
    <row r="213" ht="15" customHeight="1" s="40"/>
    <row r="214" ht="15" customHeight="1" s="40"/>
    <row r="215" ht="15" customHeight="1" s="40"/>
    <row r="216" ht="15" customHeight="1" s="40"/>
    <row r="217" ht="15" customHeight="1" s="40"/>
    <row r="218" ht="15" customHeight="1" s="40"/>
    <row r="219" ht="15" customHeight="1" s="40"/>
    <row r="220" ht="15" customHeight="1" s="40"/>
    <row r="221" ht="15" customHeight="1" s="40"/>
    <row r="222" ht="15" customHeight="1" s="40"/>
    <row r="223" ht="15" customHeight="1" s="40"/>
    <row r="224" ht="15" customHeight="1" s="40"/>
    <row r="225" ht="15" customHeight="1" s="40"/>
    <row r="226" ht="15" customHeight="1" s="40"/>
    <row r="227" ht="15" customHeight="1" s="40"/>
    <row r="228" ht="15" customHeight="1" s="40"/>
    <row r="229" ht="15" customHeight="1" s="40"/>
    <row r="230" ht="15" customHeight="1" s="40"/>
    <row r="231" ht="15" customHeight="1" s="40"/>
    <row r="232" ht="15" customHeight="1" s="40"/>
    <row r="233" ht="15" customHeight="1" s="40"/>
    <row r="234" ht="15" customHeight="1" s="40"/>
    <row r="235" ht="15" customHeight="1" s="40"/>
    <row r="236" ht="15" customHeight="1" s="40"/>
    <row r="237" ht="15" customHeight="1" s="40"/>
    <row r="238" ht="15" customHeight="1" s="40"/>
    <row r="239" ht="15" customHeight="1" s="40"/>
    <row r="240" ht="15" customHeight="1" s="40"/>
    <row r="241" ht="15" customHeight="1" s="40"/>
    <row r="242" ht="15" customHeight="1" s="40"/>
    <row r="243" ht="15" customHeight="1" s="40"/>
    <row r="244" ht="15" customHeight="1" s="40"/>
    <row r="245" ht="15" customHeight="1" s="40"/>
    <row r="246" ht="15" customHeight="1" s="40"/>
    <row r="247" ht="15" customHeight="1" s="40"/>
    <row r="248" ht="15" customHeight="1" s="40"/>
    <row r="249" ht="15" customHeight="1" s="40"/>
    <row r="250" ht="15" customHeight="1" s="40"/>
    <row r="251" ht="15" customHeight="1" s="40"/>
    <row r="252" ht="15" customHeight="1" s="40"/>
    <row r="253" ht="15" customHeight="1" s="40"/>
    <row r="254" ht="15" customHeight="1" s="40"/>
    <row r="255" ht="15" customHeight="1" s="40"/>
    <row r="256" ht="15" customHeight="1" s="40"/>
    <row r="257" ht="15" customHeight="1" s="40"/>
    <row r="258" ht="15" customHeight="1" s="40"/>
    <row r="259" ht="15" customHeight="1" s="40"/>
    <row r="260" ht="15" customHeight="1" s="40"/>
    <row r="261" ht="15" customHeight="1" s="40"/>
    <row r="262" ht="15" customHeight="1" s="40"/>
    <row r="263" ht="15" customHeight="1" s="40"/>
    <row r="264" ht="15" customHeight="1" s="40"/>
    <row r="265" ht="15" customHeight="1" s="40"/>
    <row r="266" ht="15" customHeight="1" s="40"/>
    <row r="267" ht="15" customHeight="1" s="40"/>
    <row r="268" ht="15" customHeight="1" s="40"/>
    <row r="269" ht="15" customHeight="1" s="40"/>
    <row r="270" ht="15" customHeight="1" s="40"/>
    <row r="271" ht="15" customHeight="1" s="40"/>
    <row r="272" ht="15" customHeight="1" s="40"/>
    <row r="273" ht="15" customHeight="1" s="40"/>
    <row r="274" ht="15" customHeight="1" s="40"/>
    <row r="275" ht="15" customHeight="1" s="40"/>
    <row r="276" ht="15" customHeight="1" s="40"/>
    <row r="277" ht="15" customHeight="1" s="40"/>
    <row r="278" ht="15" customHeight="1" s="40"/>
    <row r="279" ht="15" customHeight="1" s="40"/>
    <row r="280" ht="15" customHeight="1" s="40"/>
    <row r="281" ht="15" customHeight="1" s="40"/>
    <row r="282" ht="15" customHeight="1" s="40"/>
    <row r="283" ht="15" customHeight="1" s="40"/>
    <row r="284" ht="15" customHeight="1" s="40"/>
    <row r="285" ht="15" customHeight="1" s="40"/>
    <row r="286" ht="15" customHeight="1" s="40"/>
    <row r="287" ht="15" customHeight="1" s="40"/>
    <row r="288" ht="15" customHeight="1" s="40"/>
    <row r="289" ht="15" customHeight="1" s="40"/>
    <row r="290" ht="15" customHeight="1" s="40"/>
    <row r="291" ht="15" customHeight="1" s="40"/>
    <row r="292" ht="15" customHeight="1" s="40"/>
    <row r="293" ht="15" customHeight="1" s="40"/>
    <row r="294" ht="15" customHeight="1" s="40"/>
    <row r="295" ht="15" customHeight="1" s="40"/>
    <row r="296" ht="15" customHeight="1" s="40"/>
    <row r="297" ht="15" customHeight="1" s="40"/>
    <row r="298" ht="15" customHeight="1" s="40"/>
    <row r="299" ht="15" customHeight="1" s="40"/>
    <row r="300" ht="15" customHeight="1" s="40"/>
    <row r="301" ht="15" customHeight="1" s="40"/>
    <row r="302" ht="15" customHeight="1" s="40"/>
    <row r="303" ht="15" customHeight="1" s="40"/>
    <row r="304" ht="15" customHeight="1" s="40"/>
    <row r="305" ht="15" customHeight="1" s="40"/>
    <row r="306" ht="15" customHeight="1" s="40"/>
    <row r="307" ht="15" customHeight="1" s="40"/>
    <row r="308" ht="15" customHeight="1" s="40"/>
    <row r="309" ht="15" customHeight="1" s="40"/>
    <row r="310" ht="15" customHeight="1" s="40"/>
    <row r="311" ht="15" customHeight="1" s="40"/>
    <row r="312" ht="15" customHeight="1" s="40"/>
    <row r="313" ht="15" customHeight="1" s="40"/>
    <row r="314" ht="15" customHeight="1" s="40"/>
    <row r="315" ht="15" customHeight="1" s="40"/>
    <row r="316" ht="15" customHeight="1" s="40"/>
    <row r="317" ht="15" customHeight="1" s="40"/>
    <row r="318" ht="15" customHeight="1" s="40"/>
    <row r="319" ht="15" customHeight="1" s="40"/>
    <row r="320" ht="15" customHeight="1" s="40"/>
    <row r="321" ht="15" customHeight="1" s="40"/>
    <row r="322" ht="15" customHeight="1" s="40"/>
    <row r="323" ht="15" customHeight="1" s="40"/>
    <row r="324" ht="15" customHeight="1" s="40"/>
    <row r="325" ht="15" customHeight="1" s="40"/>
    <row r="326" ht="15" customHeight="1" s="40"/>
    <row r="327" ht="15" customHeight="1" s="40"/>
    <row r="328" ht="15" customHeight="1" s="40"/>
    <row r="329" ht="15" customHeight="1" s="40"/>
    <row r="330" ht="15" customHeight="1" s="40"/>
    <row r="331" ht="15" customHeight="1" s="40"/>
    <row r="332" ht="15" customHeight="1" s="40"/>
    <row r="333" ht="15" customHeight="1" s="40"/>
    <row r="334" ht="15" customHeight="1" s="40"/>
    <row r="335" ht="15" customHeight="1" s="40"/>
    <row r="336" ht="15" customHeight="1" s="40"/>
    <row r="337" ht="15" customHeight="1" s="40"/>
    <row r="338" ht="15" customHeight="1" s="40"/>
    <row r="339" ht="15" customHeight="1" s="40"/>
    <row r="340" ht="15" customHeight="1" s="40"/>
    <row r="341" ht="15" customHeight="1" s="40"/>
    <row r="342" ht="15" customHeight="1" s="40"/>
    <row r="343" ht="15" customHeight="1" s="40"/>
    <row r="344" ht="15" customHeight="1" s="40"/>
    <row r="345" ht="15" customHeight="1" s="40"/>
    <row r="346" ht="15" customHeight="1" s="40"/>
    <row r="347" ht="15" customHeight="1" s="40"/>
    <row r="348" ht="15" customHeight="1" s="40"/>
    <row r="349" ht="15" customHeight="1" s="40"/>
    <row r="350" ht="15" customHeight="1" s="40"/>
    <row r="351" ht="15" customHeight="1" s="40"/>
    <row r="352" ht="15" customHeight="1" s="40"/>
    <row r="353" ht="15" customHeight="1" s="40"/>
    <row r="354" ht="15" customHeight="1" s="40"/>
    <row r="355" ht="15" customHeight="1" s="40"/>
    <row r="356" ht="15" customHeight="1" s="40"/>
    <row r="357" ht="15" customHeight="1" s="40"/>
    <row r="358" ht="15" customHeight="1" s="40"/>
    <row r="359" ht="15" customHeight="1" s="40"/>
    <row r="360" ht="15" customHeight="1" s="40"/>
    <row r="361" ht="15" customHeight="1" s="40"/>
    <row r="362" ht="15" customHeight="1" s="40"/>
    <row r="363" ht="15" customHeight="1" s="40"/>
    <row r="364" ht="15" customHeight="1" s="40"/>
    <row r="365" ht="15" customHeight="1" s="40"/>
    <row r="366" ht="15" customHeight="1" s="40"/>
    <row r="367" ht="15" customHeight="1" s="40"/>
    <row r="368" ht="15" customHeight="1" s="40"/>
    <row r="369" ht="15" customHeight="1" s="40"/>
    <row r="370" ht="15" customHeight="1" s="40"/>
    <row r="371" ht="15" customHeight="1" s="40"/>
    <row r="372" ht="15" customHeight="1" s="40"/>
    <row r="373" ht="15" customHeight="1" s="40"/>
    <row r="374" ht="15" customHeight="1" s="40"/>
    <row r="375" ht="15" customHeight="1" s="40"/>
    <row r="376" ht="15" customHeight="1" s="40"/>
    <row r="377" ht="15" customHeight="1" s="40"/>
    <row r="378" ht="15" customHeight="1" s="40"/>
    <row r="379" ht="15" customHeight="1" s="40"/>
    <row r="380" ht="15" customHeight="1" s="40"/>
    <row r="381" ht="15" customHeight="1" s="40"/>
    <row r="382" ht="15" customHeight="1" s="40"/>
    <row r="383" ht="15" customHeight="1" s="40"/>
    <row r="384" ht="15" customHeight="1" s="40"/>
    <row r="385" ht="15" customHeight="1" s="40"/>
    <row r="386" ht="15" customHeight="1" s="40"/>
    <row r="387" ht="15" customHeight="1" s="40"/>
    <row r="388" ht="15" customHeight="1" s="40"/>
    <row r="389" ht="15" customHeight="1" s="40"/>
    <row r="390" ht="15" customHeight="1" s="40"/>
    <row r="391" ht="15" customHeight="1" s="40"/>
    <row r="392" ht="15" customHeight="1" s="40"/>
    <row r="393" ht="15" customHeight="1" s="40"/>
    <row r="394" ht="15" customHeight="1" s="40"/>
    <row r="395" ht="15" customHeight="1" s="40"/>
    <row r="396" ht="15" customHeight="1" s="40"/>
    <row r="397" ht="15" customHeight="1" s="40"/>
    <row r="398" ht="15" customHeight="1" s="40"/>
    <row r="399" ht="15" customHeight="1" s="40"/>
    <row r="400" ht="15" customHeight="1" s="40"/>
    <row r="401" ht="15" customHeight="1" s="40"/>
    <row r="402" ht="15" customHeight="1" s="40"/>
    <row r="403" ht="15" customHeight="1" s="40"/>
    <row r="404" ht="15" customHeight="1" s="40"/>
    <row r="405" ht="15" customHeight="1" s="40"/>
    <row r="406" ht="15" customHeight="1" s="40"/>
    <row r="407" ht="15" customHeight="1" s="40"/>
    <row r="408" ht="15" customHeight="1" s="40"/>
    <row r="409" ht="15" customHeight="1" s="40"/>
    <row r="410" ht="15" customHeight="1" s="40"/>
    <row r="411" ht="15" customHeight="1" s="40"/>
    <row r="412" ht="15" customHeight="1" s="40"/>
    <row r="413" ht="15" customHeight="1" s="40"/>
    <row r="414" ht="15" customHeight="1" s="40"/>
    <row r="415" ht="15" customHeight="1" s="40"/>
    <row r="416" ht="15" customHeight="1" s="40"/>
    <row r="417" ht="15" customHeight="1" s="40"/>
    <row r="418" ht="15" customHeight="1" s="40"/>
    <row r="419" ht="15" customHeight="1" s="40"/>
    <row r="420" ht="15" customHeight="1" s="40"/>
    <row r="421" ht="15" customHeight="1" s="40"/>
    <row r="422" ht="15" customHeight="1" s="40"/>
    <row r="423" ht="15" customHeight="1" s="40"/>
    <row r="424" ht="15" customHeight="1" s="40"/>
    <row r="425" ht="15" customHeight="1" s="40"/>
    <row r="426" ht="15" customHeight="1" s="40"/>
    <row r="427" ht="15" customHeight="1" s="40"/>
    <row r="428" ht="15" customHeight="1" s="40"/>
    <row r="429" ht="15" customHeight="1" s="40"/>
    <row r="430" ht="15" customHeight="1" s="40"/>
    <row r="431" ht="15" customHeight="1" s="40"/>
    <row r="432" ht="15" customHeight="1" s="40"/>
    <row r="433" ht="15" customHeight="1" s="40"/>
    <row r="434" ht="15" customHeight="1" s="40"/>
    <row r="435" ht="15" customHeight="1" s="40"/>
    <row r="436" ht="15" customHeight="1" s="40"/>
    <row r="437" ht="15" customHeight="1" s="40"/>
    <row r="438" ht="15" customHeight="1" s="40"/>
    <row r="439" ht="15" customHeight="1" s="40"/>
    <row r="440" ht="15" customHeight="1" s="40"/>
    <row r="441" ht="15" customHeight="1" s="40"/>
    <row r="442" ht="15" customHeight="1" s="40"/>
    <row r="443" ht="15" customHeight="1" s="40"/>
    <row r="444" ht="15" customHeight="1" s="40"/>
    <row r="445" ht="15" customHeight="1" s="40"/>
    <row r="446" ht="15" customHeight="1" s="40"/>
    <row r="447" ht="15" customHeight="1" s="40"/>
    <row r="448" ht="15" customHeight="1" s="40"/>
    <row r="449" ht="15" customHeight="1" s="40"/>
    <row r="450" ht="15" customHeight="1" s="40"/>
    <row r="451" ht="15" customHeight="1" s="40"/>
    <row r="452" ht="15" customHeight="1" s="40"/>
    <row r="453" ht="15" customHeight="1" s="40"/>
    <row r="454" ht="15" customHeight="1" s="40"/>
    <row r="455" ht="15" customHeight="1" s="40"/>
    <row r="456" ht="15" customHeight="1" s="40"/>
    <row r="457" ht="15" customHeight="1" s="40"/>
    <row r="458" ht="15" customHeight="1" s="40"/>
    <row r="459" ht="15" customHeight="1" s="40"/>
    <row r="460" ht="15" customHeight="1" s="40"/>
    <row r="461" ht="15" customHeight="1" s="40"/>
    <row r="462" ht="15" customHeight="1" s="40"/>
    <row r="463" ht="15" customHeight="1" s="40"/>
    <row r="464" ht="15" customHeight="1" s="40"/>
    <row r="465" ht="15" customHeight="1" s="40"/>
    <row r="466" ht="15" customHeight="1" s="40"/>
    <row r="467" ht="15" customHeight="1" s="40"/>
    <row r="468" ht="15" customHeight="1" s="40"/>
    <row r="469" ht="15" customHeight="1" s="40"/>
    <row r="470" ht="15" customHeight="1" s="40"/>
    <row r="471" ht="15" customHeight="1" s="40"/>
    <row r="472" ht="15" customHeight="1" s="40"/>
    <row r="473" ht="15" customHeight="1" s="40"/>
    <row r="474" ht="15" customHeight="1" s="40"/>
    <row r="475" ht="15" customHeight="1" s="40"/>
    <row r="476" ht="15" customHeight="1" s="40"/>
    <row r="477" ht="15" customHeight="1" s="40"/>
    <row r="478" ht="15" customHeight="1" s="40"/>
    <row r="479" ht="15" customHeight="1" s="40"/>
    <row r="480" ht="15" customHeight="1" s="40"/>
    <row r="481" ht="15" customHeight="1" s="40"/>
    <row r="482" ht="15" customHeight="1" s="40"/>
    <row r="483" ht="15" customHeight="1" s="40"/>
    <row r="484" ht="15" customHeight="1" s="40"/>
    <row r="485" ht="15" customHeight="1" s="40"/>
    <row r="486" ht="15" customHeight="1" s="40"/>
    <row r="487" ht="15" customHeight="1" s="40"/>
    <row r="488" ht="15" customHeight="1" s="40"/>
    <row r="489" ht="15" customHeight="1" s="40"/>
    <row r="490" ht="15" customHeight="1" s="40"/>
    <row r="491" ht="15" customHeight="1" s="40"/>
    <row r="492" ht="15" customHeight="1" s="40"/>
    <row r="493" ht="15" customHeight="1" s="40"/>
    <row r="494" ht="15" customHeight="1" s="40"/>
    <row r="495" ht="15" customHeight="1" s="40"/>
    <row r="496" ht="15" customHeight="1" s="40"/>
    <row r="497" ht="15" customHeight="1" s="40"/>
    <row r="498" ht="15" customHeight="1" s="40"/>
    <row r="499" ht="15" customHeight="1" s="40"/>
    <row r="500" ht="15" customHeight="1" s="40"/>
    <row r="501" ht="15" customHeight="1" s="40"/>
    <row r="502" ht="15" customHeight="1" s="40"/>
    <row r="503" ht="15" customHeight="1" s="40"/>
    <row r="504" ht="15" customHeight="1" s="40"/>
    <row r="505" ht="15" customHeight="1" s="40"/>
    <row r="506" ht="15" customHeight="1" s="40"/>
    <row r="507" ht="15" customHeight="1" s="40"/>
    <row r="508" ht="15" customHeight="1" s="40"/>
    <row r="509" ht="15" customHeight="1" s="40"/>
    <row r="510" ht="15" customHeight="1" s="40"/>
    <row r="511" ht="15" customHeight="1" s="40"/>
    <row r="512" ht="15" customHeight="1" s="40"/>
    <row r="513" ht="15" customHeight="1" s="40"/>
    <row r="514" ht="15" customHeight="1" s="40"/>
    <row r="515" ht="15" customHeight="1" s="40"/>
    <row r="516" ht="15" customHeight="1" s="40"/>
    <row r="517" ht="15" customHeight="1" s="40"/>
    <row r="518" ht="15" customHeight="1" s="40"/>
    <row r="519" ht="15" customHeight="1" s="40"/>
    <row r="520" ht="15" customHeight="1" s="40"/>
    <row r="521" ht="15" customHeight="1" s="40"/>
    <row r="522" ht="15" customHeight="1" s="40"/>
    <row r="523" ht="15" customHeight="1" s="40"/>
    <row r="524" ht="15" customHeight="1" s="40"/>
    <row r="525" ht="15" customHeight="1" s="40"/>
    <row r="526" ht="15" customHeight="1" s="40"/>
    <row r="527" ht="15" customHeight="1" s="40"/>
    <row r="528" ht="15" customHeight="1" s="40"/>
    <row r="529" ht="15" customHeight="1" s="40"/>
    <row r="530" ht="15" customHeight="1" s="40"/>
    <row r="531" ht="15" customHeight="1" s="40"/>
    <row r="532" ht="15" customHeight="1" s="40"/>
    <row r="533" ht="15" customHeight="1" s="40"/>
    <row r="534" ht="15" customHeight="1" s="40"/>
    <row r="535" ht="15" customHeight="1" s="40"/>
    <row r="536" ht="15" customHeight="1" s="40"/>
    <row r="537" ht="15" customHeight="1" s="40"/>
    <row r="538" ht="15" customHeight="1" s="40"/>
    <row r="539" ht="15" customHeight="1" s="40"/>
    <row r="540" ht="15" customHeight="1" s="40"/>
    <row r="541" ht="15" customHeight="1" s="40"/>
    <row r="542" ht="15" customHeight="1" s="40"/>
    <row r="543" ht="15" customHeight="1" s="40"/>
    <row r="544" ht="15" customHeight="1" s="40"/>
    <row r="545" ht="15" customHeight="1" s="40"/>
    <row r="546" ht="15" customHeight="1" s="40"/>
    <row r="547" ht="15" customHeight="1" s="40"/>
    <row r="548" ht="15" customHeight="1" s="40"/>
    <row r="549" ht="15" customHeight="1" s="40"/>
    <row r="550" ht="15" customHeight="1" s="40"/>
    <row r="551" ht="15" customHeight="1" s="40"/>
    <row r="552" ht="15" customHeight="1" s="40"/>
    <row r="553" ht="15" customHeight="1" s="40"/>
    <row r="554" ht="15" customHeight="1" s="40"/>
    <row r="555" ht="15" customHeight="1" s="40"/>
    <row r="556" ht="15" customHeight="1" s="40"/>
    <row r="557" ht="15" customHeight="1" s="40"/>
    <row r="558" ht="15" customHeight="1" s="40"/>
    <row r="559" ht="15" customHeight="1" s="40"/>
    <row r="560" ht="15" customHeight="1" s="40"/>
    <row r="561" ht="15" customHeight="1" s="40"/>
    <row r="562" ht="15" customHeight="1" s="40"/>
    <row r="563" ht="15" customHeight="1" s="40"/>
    <row r="564" ht="15" customHeight="1" s="40"/>
    <row r="565" ht="15" customHeight="1" s="40"/>
    <row r="566" ht="15" customHeight="1" s="40"/>
    <row r="567" ht="15" customHeight="1" s="40"/>
    <row r="568" ht="15" customHeight="1" s="40"/>
    <row r="569" ht="15" customHeight="1" s="40"/>
    <row r="570" ht="15" customHeight="1" s="40"/>
    <row r="571" ht="15" customHeight="1" s="40"/>
    <row r="572" ht="15" customHeight="1" s="40"/>
    <row r="573" ht="15" customHeight="1" s="40"/>
    <row r="574" ht="15" customHeight="1" s="40"/>
    <row r="575" ht="15" customHeight="1" s="40"/>
    <row r="576" ht="15" customHeight="1" s="40"/>
    <row r="577" ht="15" customHeight="1" s="40"/>
    <row r="578" ht="15" customHeight="1" s="40"/>
    <row r="579" ht="15" customHeight="1" s="40"/>
    <row r="580" ht="15" customHeight="1" s="40"/>
    <row r="581" ht="15" customHeight="1" s="40"/>
    <row r="582" ht="15" customHeight="1" s="40"/>
    <row r="583" ht="15" customHeight="1" s="40"/>
    <row r="584" ht="15" customHeight="1" s="40"/>
    <row r="585" ht="15" customHeight="1" s="40"/>
    <row r="586" ht="15" customHeight="1" s="40"/>
    <row r="587" ht="15" customHeight="1" s="40"/>
    <row r="588" ht="15" customHeight="1" s="40"/>
    <row r="589" ht="15" customHeight="1" s="40"/>
    <row r="590" ht="15" customHeight="1" s="40"/>
    <row r="591" ht="15" customHeight="1" s="40"/>
    <row r="592" ht="15" customHeight="1" s="40"/>
    <row r="593" ht="15" customHeight="1" s="40"/>
    <row r="594" ht="15" customHeight="1" s="40"/>
    <row r="595" ht="15" customHeight="1" s="40"/>
    <row r="596" ht="15" customHeight="1" s="40"/>
    <row r="597" ht="15" customHeight="1" s="40"/>
    <row r="598" ht="15" customHeight="1" s="40"/>
    <row r="599" ht="15" customHeight="1" s="40"/>
    <row r="600" ht="15" customHeight="1" s="40"/>
    <row r="601" ht="15" customHeight="1" s="40"/>
    <row r="602" ht="15" customHeight="1" s="40"/>
    <row r="603" ht="15" customHeight="1" s="40"/>
    <row r="604" ht="15" customHeight="1" s="40"/>
    <row r="605" ht="15" customHeight="1" s="40"/>
    <row r="606" ht="15" customHeight="1" s="40"/>
    <row r="607" ht="15" customHeight="1" s="40"/>
    <row r="608" ht="15" customHeight="1" s="40"/>
    <row r="609" ht="15" customHeight="1" s="40"/>
    <row r="610" ht="15" customHeight="1" s="40"/>
    <row r="611" ht="15" customHeight="1" s="40"/>
    <row r="612" ht="15" customHeight="1" s="40"/>
    <row r="613" ht="15" customHeight="1" s="40"/>
    <row r="614" ht="15" customHeight="1" s="40"/>
    <row r="615" ht="15" customHeight="1" s="40"/>
    <row r="616" ht="15" customHeight="1" s="40"/>
    <row r="617" ht="15" customHeight="1" s="40"/>
    <row r="618" ht="15" customHeight="1" s="40"/>
    <row r="619" ht="15" customHeight="1" s="40"/>
    <row r="620" ht="15" customHeight="1" s="40"/>
    <row r="621" ht="15" customHeight="1" s="40"/>
    <row r="622" ht="15" customHeight="1" s="40"/>
    <row r="623" ht="15" customHeight="1" s="40"/>
    <row r="624" ht="15" customHeight="1" s="40"/>
    <row r="625" ht="15" customHeight="1" s="40"/>
    <row r="626" ht="15" customHeight="1" s="40"/>
    <row r="627" ht="15" customHeight="1" s="40"/>
    <row r="628" ht="15" customHeight="1" s="40"/>
    <row r="629" ht="15" customHeight="1" s="40"/>
    <row r="630" ht="15" customHeight="1" s="40"/>
    <row r="631" ht="15" customHeight="1" s="40"/>
    <row r="632" ht="15" customHeight="1" s="40"/>
    <row r="633" ht="15" customHeight="1" s="40"/>
    <row r="634" ht="15" customHeight="1" s="40"/>
    <row r="635" ht="15" customHeight="1" s="40"/>
    <row r="636" ht="15" customHeight="1" s="40"/>
    <row r="637" ht="15" customHeight="1" s="40"/>
    <row r="638" ht="15" customHeight="1" s="40"/>
    <row r="639" ht="15" customHeight="1" s="40"/>
    <row r="640" ht="15" customHeight="1" s="40"/>
    <row r="641" ht="15" customHeight="1" s="40"/>
    <row r="642" ht="15" customHeight="1" s="40"/>
    <row r="643" ht="15" customHeight="1" s="40"/>
    <row r="644" ht="15" customHeight="1" s="40"/>
    <row r="645" ht="15" customHeight="1" s="40"/>
    <row r="646" ht="15" customHeight="1" s="40"/>
    <row r="647" ht="15" customHeight="1" s="40"/>
    <row r="648" ht="15" customHeight="1" s="40"/>
    <row r="649" ht="15" customHeight="1" s="40"/>
    <row r="650" ht="15" customHeight="1" s="40"/>
    <row r="651" ht="15" customHeight="1" s="40"/>
    <row r="652" ht="15" customHeight="1" s="40"/>
    <row r="653" ht="15" customHeight="1" s="40"/>
    <row r="654" ht="15" customHeight="1" s="40"/>
    <row r="655" ht="15" customHeight="1" s="40"/>
    <row r="656" ht="15" customHeight="1" s="40"/>
    <row r="657" ht="15" customHeight="1" s="40"/>
    <row r="658" ht="15" customHeight="1" s="40"/>
    <row r="659" ht="15" customHeight="1" s="40"/>
    <row r="660" ht="15" customHeight="1" s="40"/>
    <row r="661" ht="15" customHeight="1" s="40"/>
    <row r="662" ht="15" customHeight="1" s="40"/>
    <row r="663" ht="15" customHeight="1" s="40"/>
    <row r="664" ht="15" customHeight="1" s="40"/>
    <row r="665" ht="15" customHeight="1" s="40"/>
    <row r="666" ht="15" customHeight="1" s="40"/>
    <row r="667" ht="15" customHeight="1" s="40"/>
    <row r="668" ht="15" customHeight="1" s="40"/>
    <row r="669" ht="15" customHeight="1" s="40"/>
    <row r="670" ht="15" customHeight="1" s="40"/>
    <row r="671" ht="15" customHeight="1" s="40"/>
    <row r="672" ht="15" customHeight="1" s="40"/>
    <row r="673" ht="15" customHeight="1" s="40"/>
    <row r="674" ht="15" customHeight="1" s="40"/>
    <row r="675" ht="15" customHeight="1" s="40"/>
    <row r="676" ht="15" customHeight="1" s="40"/>
    <row r="677" ht="15" customHeight="1" s="40"/>
    <row r="678" ht="15" customHeight="1" s="40"/>
    <row r="679" ht="15" customHeight="1" s="40"/>
    <row r="680" ht="15" customHeight="1" s="40"/>
    <row r="681" ht="15" customHeight="1" s="40"/>
    <row r="682" ht="15" customHeight="1" s="40"/>
    <row r="683" ht="15" customHeight="1" s="40"/>
    <row r="684" ht="15" customHeight="1" s="40"/>
    <row r="685" ht="15" customHeight="1" s="40"/>
    <row r="686" ht="15" customHeight="1" s="40"/>
    <row r="687" ht="15" customHeight="1" s="40"/>
    <row r="688" ht="15" customHeight="1" s="40"/>
    <row r="689" ht="15" customHeight="1" s="40"/>
    <row r="690" ht="15" customHeight="1" s="40"/>
    <row r="691" ht="15" customHeight="1" s="40"/>
    <row r="692" ht="15" customHeight="1" s="40"/>
    <row r="693" ht="15" customHeight="1" s="40"/>
    <row r="694" ht="15" customHeight="1" s="40"/>
    <row r="695" ht="15" customHeight="1" s="40"/>
    <row r="696" ht="15" customHeight="1" s="40"/>
    <row r="697" ht="15" customHeight="1" s="40"/>
    <row r="698" ht="15" customHeight="1" s="40"/>
    <row r="699" ht="15" customHeight="1" s="40"/>
    <row r="700" ht="15" customHeight="1" s="40"/>
    <row r="701" ht="15" customHeight="1" s="40"/>
    <row r="702" ht="15" customHeight="1" s="40"/>
    <row r="703" ht="15" customHeight="1" s="40"/>
    <row r="704" ht="15" customHeight="1" s="40"/>
    <row r="705" ht="15" customHeight="1" s="40"/>
    <row r="706" ht="15" customHeight="1" s="40"/>
    <row r="707" ht="15" customHeight="1" s="40"/>
    <row r="708" ht="15" customHeight="1" s="40"/>
    <row r="709" ht="15" customHeight="1" s="40"/>
    <row r="710" ht="15" customHeight="1" s="40"/>
    <row r="711" ht="15" customHeight="1" s="40"/>
    <row r="712" ht="15" customHeight="1" s="40"/>
    <row r="713" ht="15" customHeight="1" s="40"/>
    <row r="714" ht="15" customHeight="1" s="40"/>
    <row r="715" ht="15" customHeight="1" s="40"/>
    <row r="716" ht="15" customHeight="1" s="40"/>
    <row r="717" ht="15" customHeight="1" s="40"/>
    <row r="718" ht="15" customHeight="1" s="40"/>
    <row r="719" ht="15" customHeight="1" s="40"/>
    <row r="720" ht="15" customHeight="1" s="40"/>
    <row r="721" ht="15" customHeight="1" s="40"/>
    <row r="722" ht="15" customHeight="1" s="40"/>
    <row r="723" ht="15" customHeight="1" s="40"/>
    <row r="724" ht="15" customHeight="1" s="40"/>
    <row r="725" ht="15" customHeight="1" s="40"/>
    <row r="726" ht="15" customHeight="1" s="40"/>
    <row r="727" ht="15" customHeight="1" s="40"/>
    <row r="728" ht="15" customHeight="1" s="40"/>
    <row r="729" ht="15" customHeight="1" s="40"/>
    <row r="730" ht="15" customHeight="1" s="40"/>
    <row r="731" ht="15" customHeight="1" s="40"/>
    <row r="732" ht="15" customHeight="1" s="40"/>
    <row r="733" ht="15" customHeight="1" s="40"/>
    <row r="734" ht="15" customHeight="1" s="40"/>
    <row r="735" ht="15" customHeight="1" s="40"/>
    <row r="736" ht="15" customHeight="1" s="40"/>
    <row r="737" ht="15" customHeight="1" s="40"/>
    <row r="738" ht="15" customHeight="1" s="40"/>
    <row r="739" ht="15" customHeight="1" s="40"/>
    <row r="740" ht="15" customHeight="1" s="40"/>
    <row r="741" ht="15" customHeight="1" s="40"/>
    <row r="742" ht="15" customHeight="1" s="40"/>
    <row r="743" ht="15" customHeight="1" s="40"/>
    <row r="744" ht="15" customHeight="1" s="40"/>
    <row r="745" ht="15" customHeight="1" s="40"/>
    <row r="746" ht="15" customHeight="1" s="40"/>
    <row r="747" ht="15" customHeight="1" s="40"/>
    <row r="748" ht="15" customHeight="1" s="40"/>
    <row r="749" ht="15" customHeight="1" s="40"/>
    <row r="750" ht="15" customHeight="1" s="40"/>
    <row r="751" ht="15" customHeight="1" s="40"/>
    <row r="752" ht="15" customHeight="1" s="40"/>
    <row r="753" ht="15" customHeight="1" s="40"/>
    <row r="754" ht="15" customHeight="1" s="40"/>
    <row r="755" ht="15" customHeight="1" s="40"/>
    <row r="756" ht="15" customHeight="1" s="40"/>
    <row r="757" ht="15" customHeight="1" s="40"/>
    <row r="758" ht="15" customHeight="1" s="40"/>
    <row r="759" ht="15" customHeight="1" s="40"/>
    <row r="760" ht="15" customHeight="1" s="40"/>
    <row r="761" ht="15" customHeight="1" s="40"/>
    <row r="762" ht="15" customHeight="1" s="40"/>
    <row r="763" ht="15" customHeight="1" s="40"/>
    <row r="764" ht="15" customHeight="1" s="40"/>
    <row r="765" ht="15" customHeight="1" s="40"/>
    <row r="766" ht="15" customHeight="1" s="40"/>
    <row r="767" ht="15" customHeight="1" s="40"/>
    <row r="768" ht="15" customHeight="1" s="40"/>
    <row r="769" ht="15" customHeight="1" s="40"/>
    <row r="770" ht="15" customHeight="1" s="40"/>
    <row r="771" ht="15" customHeight="1" s="40"/>
    <row r="772" ht="15" customHeight="1" s="40"/>
    <row r="773" ht="15" customHeight="1" s="40"/>
    <row r="774" ht="15" customHeight="1" s="40"/>
    <row r="775" ht="15" customHeight="1" s="40"/>
    <row r="776" ht="15" customHeight="1" s="40"/>
    <row r="777" ht="15" customHeight="1" s="40"/>
    <row r="778" ht="15" customHeight="1" s="40"/>
    <row r="779" ht="15" customHeight="1" s="40"/>
    <row r="780" ht="15" customHeight="1" s="40"/>
    <row r="781" ht="15" customHeight="1" s="40"/>
    <row r="782" ht="15" customHeight="1" s="40"/>
    <row r="783" ht="15" customHeight="1" s="40"/>
    <row r="784" ht="15" customHeight="1" s="40"/>
    <row r="785" ht="15" customHeight="1" s="40"/>
    <row r="786" ht="15" customHeight="1" s="40"/>
    <row r="787" ht="15" customHeight="1" s="40"/>
    <row r="788" ht="15" customHeight="1" s="40"/>
    <row r="789" ht="15" customHeight="1" s="40"/>
    <row r="790" ht="15" customHeight="1" s="40"/>
    <row r="791" ht="15" customHeight="1" s="40"/>
    <row r="792" ht="15" customHeight="1" s="40"/>
    <row r="793" ht="15" customHeight="1" s="40"/>
    <row r="794" ht="15" customHeight="1" s="40"/>
    <row r="795" ht="15" customHeight="1" s="40"/>
    <row r="796" ht="15" customHeight="1" s="40"/>
    <row r="797" ht="15" customHeight="1" s="40"/>
    <row r="798" ht="15" customHeight="1" s="40"/>
    <row r="799" ht="15" customHeight="1" s="40"/>
    <row r="800" ht="15" customHeight="1" s="40"/>
    <row r="801" ht="15" customHeight="1" s="40"/>
    <row r="802" ht="15" customHeight="1" s="40"/>
    <row r="803" ht="15" customHeight="1" s="40"/>
    <row r="804" ht="15" customHeight="1" s="40"/>
    <row r="805" ht="15" customHeight="1" s="40"/>
    <row r="806" ht="15" customHeight="1" s="40"/>
    <row r="807" ht="15" customHeight="1" s="40"/>
    <row r="808" ht="15" customHeight="1" s="40"/>
    <row r="809" ht="15" customHeight="1" s="40"/>
    <row r="810" ht="15" customHeight="1" s="40"/>
    <row r="811" ht="15" customHeight="1" s="40"/>
    <row r="812" ht="15" customHeight="1" s="40"/>
    <row r="813" ht="15" customHeight="1" s="40"/>
    <row r="814" ht="15" customHeight="1" s="40"/>
    <row r="815" ht="15" customHeight="1" s="40"/>
    <row r="816" ht="15" customHeight="1" s="40"/>
    <row r="817" ht="15" customHeight="1" s="40"/>
    <row r="818" ht="15" customHeight="1" s="40"/>
    <row r="819" ht="15" customHeight="1" s="40"/>
    <row r="820" ht="15" customHeight="1" s="40"/>
    <row r="821" ht="15" customHeight="1" s="40"/>
    <row r="822" ht="15" customHeight="1" s="40"/>
    <row r="823" ht="15" customHeight="1" s="40"/>
    <row r="824" ht="15" customHeight="1" s="40"/>
    <row r="825" ht="15" customHeight="1" s="40"/>
    <row r="826" ht="15" customHeight="1" s="40"/>
    <row r="827" ht="15" customHeight="1" s="40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2026-10-18T05:56:20Z</dcterms:created>
  <dcterms:modified xmlns:dcterms="http://purl.org/dc/terms/" xmlns:xsi="http://www.w3.org/2001/XMLSchema-instance" xsi:type="dcterms:W3CDTF">2026-10-18T15:58:44Z</dcterms:modified>
  <cp:revision>0</cp:revision>
</cp:coreProperties>
</file>